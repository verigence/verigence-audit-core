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ahindraonline-my.sharepoint.com/personal/23080850_mahindra_com/Documents/1.AD/3.Corporate/3.Corporate Policy/Sept'26/"/>
    </mc:Choice>
  </mc:AlternateContent>
  <xr:revisionPtr revIDLastSave="171" documentId="8_{81B603D2-EE79-471E-A1A0-09C71102F7E9}" xr6:coauthVersionLast="47" xr6:coauthVersionMax="47" xr10:uidLastSave="{49CCBFB5-D84C-4A3E-8E7D-47E1CD840E6E}"/>
  <bookViews>
    <workbookView xWindow="-110" yWindow="-110" windowWidth="19420" windowHeight="10300" tabRatio="728" xr2:uid="{00000000-000D-0000-FFFF-FFFF00000000}"/>
  </bookViews>
  <sheets>
    <sheet name="Corporate Policy" sheetId="22" r:id="rId1"/>
    <sheet name="Companies List" sheetId="23" r:id="rId2"/>
    <sheet name="List of Documents for Claims" sheetId="19" r:id="rId3"/>
    <sheet name="Form - New Code" sheetId="25" r:id="rId4"/>
    <sheet name="Form - Deviation" sheetId="27" r:id="rId5"/>
  </sheets>
  <definedNames>
    <definedName name="_xlnm._FilterDatabase" localSheetId="1" hidden="1">'Companies List'!$A$2:$Z$2</definedName>
    <definedName name="_xlnm._FilterDatabase" localSheetId="2" hidden="1">'List of Documents for Claims'!$A$1:$G$77</definedName>
    <definedName name="_xlnm.Print_Area" localSheetId="1">'Companies List'!$B$1:$Z$512</definedName>
    <definedName name="_xlnm.Print_Area" localSheetId="2">'List of Documents for Claims'!$A$1:$F$81</definedName>
    <definedName name="_xlnm.Print_Titles" localSheetId="2">'List of Documents for Claims'!$1:$1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2" l="1"/>
  <c r="R9" i="22"/>
  <c r="T5" i="22" l="1"/>
  <c r="T7" i="22"/>
  <c r="S11" i="22"/>
  <c r="R11" i="22"/>
  <c r="Q5" i="22"/>
  <c r="Q7" i="22"/>
  <c r="Q9" i="22"/>
  <c r="AH12" i="22" l="1"/>
  <c r="AG12" i="22"/>
  <c r="AH11" i="22"/>
  <c r="AG11" i="22"/>
  <c r="AE12" i="22"/>
  <c r="AD12" i="22"/>
  <c r="AE11" i="22"/>
  <c r="AD11" i="22"/>
  <c r="AE9" i="22"/>
  <c r="AD9" i="22"/>
  <c r="AF7" i="22"/>
  <c r="AF5" i="22"/>
  <c r="AB12" i="22"/>
  <c r="AA12" i="22"/>
  <c r="AB11" i="22"/>
  <c r="AA11" i="22"/>
  <c r="AC9" i="22"/>
  <c r="AC7" i="22"/>
  <c r="AC5" i="22"/>
  <c r="Y12" i="22"/>
  <c r="X12" i="22"/>
  <c r="Y11" i="22"/>
  <c r="X11" i="22"/>
  <c r="Z9" i="22"/>
  <c r="Z7" i="22"/>
  <c r="Z5" i="22"/>
  <c r="V12" i="22"/>
  <c r="U12" i="22"/>
  <c r="V11" i="22"/>
  <c r="U11" i="22"/>
  <c r="D12" i="22"/>
  <c r="C12" i="22"/>
  <c r="G12" i="22"/>
  <c r="F12" i="22"/>
  <c r="G11" i="22"/>
  <c r="F11" i="22"/>
  <c r="M12" i="22"/>
  <c r="L12" i="22"/>
  <c r="M11" i="22"/>
  <c r="L11" i="22"/>
  <c r="J12" i="22"/>
  <c r="I12" i="22"/>
  <c r="J11" i="22"/>
  <c r="I11" i="22"/>
  <c r="K9" i="22"/>
  <c r="K7" i="22"/>
  <c r="K5" i="22"/>
  <c r="S12" i="22"/>
  <c r="R12" i="22"/>
  <c r="P12" i="22"/>
  <c r="O12" i="22"/>
  <c r="P11" i="22"/>
  <c r="O11" i="22"/>
  <c r="A18" i="25"/>
  <c r="A19" i="25" s="1"/>
  <c r="A20" i="25" s="1"/>
  <c r="A21" i="25" s="1"/>
  <c r="A22" i="25" s="1"/>
  <c r="A23" i="25" s="1"/>
  <c r="A4" i="25"/>
  <c r="A5" i="25" s="1"/>
  <c r="A6" i="25" s="1"/>
  <c r="A7" i="25" s="1"/>
  <c r="A8" i="25" s="1"/>
  <c r="A9" i="25" s="1"/>
  <c r="A10" i="25" s="1"/>
  <c r="A11" i="25" s="1"/>
  <c r="A12" i="25" s="1"/>
  <c r="A13" i="25" s="1"/>
  <c r="A14" i="25" s="1"/>
  <c r="A15" i="25" s="1"/>
  <c r="A16" i="25" s="1"/>
  <c r="A17" i="25" s="1"/>
  <c r="A4" i="27"/>
  <c r="A5" i="27" s="1"/>
  <c r="A6" i="27" s="1"/>
  <c r="A7" i="27" s="1"/>
  <c r="A8" i="27" s="1"/>
  <c r="A9" i="27" s="1"/>
  <c r="A10" i="27" s="1"/>
  <c r="A11" i="27" s="1"/>
  <c r="A12" i="27" s="1"/>
  <c r="A13" i="27" s="1"/>
  <c r="A14" i="27" s="1"/>
  <c r="J24" i="22" l="1"/>
  <c r="I24" i="22"/>
  <c r="J23" i="22"/>
  <c r="I23" i="22"/>
  <c r="G24" i="22"/>
  <c r="F24" i="22"/>
  <c r="G23" i="22"/>
  <c r="F23" i="22"/>
  <c r="D24" i="22"/>
  <c r="C24" i="22"/>
  <c r="K21" i="22" l="1"/>
  <c r="H21" i="22"/>
  <c r="E21" i="22"/>
  <c r="K19" i="22"/>
  <c r="H19" i="22"/>
  <c r="E19" i="22"/>
  <c r="K17" i="22"/>
  <c r="H17" i="22"/>
  <c r="E17" i="22"/>
  <c r="D23" i="22" l="1"/>
  <c r="C23" i="22"/>
</calcChain>
</file>

<file path=xl/sharedStrings.xml><?xml version="1.0" encoding="utf-8"?>
<sst xmlns="http://schemas.openxmlformats.org/spreadsheetml/2006/main" count="5995" uniqueCount="3014">
  <si>
    <t>Corporate Category</t>
  </si>
  <si>
    <t xml:space="preserve">M&amp;M </t>
  </si>
  <si>
    <t>Dealer</t>
  </si>
  <si>
    <t>Total</t>
  </si>
  <si>
    <t>Cat-B</t>
  </si>
  <si>
    <t>BLK1 (2-5 nos)</t>
  </si>
  <si>
    <t>Cat-A</t>
  </si>
  <si>
    <t>BLK2 (6-10 nos)</t>
  </si>
  <si>
    <t>Cat-F</t>
  </si>
  <si>
    <t>BLK3 (11 &amp; Above)</t>
  </si>
  <si>
    <t>Cat-Y (Premium)</t>
  </si>
  <si>
    <t>Cat-Z (Signature)</t>
  </si>
  <si>
    <t>S. No.</t>
  </si>
  <si>
    <t>Notes to Corporate Policy</t>
  </si>
  <si>
    <t>The listed corporates/institutions buying vehicles in their own name or employees working in these corporates/institutions are eligible for the benefits mentioned in this policy.</t>
  </si>
  <si>
    <t>The benefits under this policy shall be over and above any existing / applicable monthly retail / consumer scheme.</t>
  </si>
  <si>
    <t>The benefits mentioned are inclusive of both Mahindra and Dealer contribution.</t>
  </si>
  <si>
    <t>The benefits are inclusive of applicable GST amount.</t>
  </si>
  <si>
    <t>The Corporate Privilege benefits shall not be applicable to billings for Canteen Stores Department (CSD), Central Police Canteen (CPC) / Kendriya Policy Kalyan Bhandar (KPKB), under any circumstance.</t>
  </si>
  <si>
    <t>Similarly, Corporate Privilege benefits shall not be applicable for billings under Business to Business (B2B) / ZACO, under any circumstance.</t>
  </si>
  <si>
    <t>Claims towards benefits passed for such above billings shall not be entertained.</t>
  </si>
  <si>
    <t>Bulk Scheme</t>
  </si>
  <si>
    <t>Bulk Purchase Categorization:</t>
  </si>
  <si>
    <t>i.</t>
  </si>
  <si>
    <t>BLK1 is for 2-5 units purchased at once</t>
  </si>
  <si>
    <t>ii.</t>
  </si>
  <si>
    <t>BLK2 is for 6-10 units purchased at once</t>
  </si>
  <si>
    <t>iii.</t>
  </si>
  <si>
    <t>BLK3 is for 11 &amp; above units purchased at once</t>
  </si>
  <si>
    <t>The policy applicable on Personal range and Commercial range can be clubbed together for availing the respective Bulk slabs under each product category.</t>
  </si>
  <si>
    <t>Corporate Claim</t>
  </si>
  <si>
    <t>It is mandatory to upload the Corporate claim under Corporate category within 30 days of retail, failing which the claim will not be entertained. Please note the documentation should be complete in all respects; as prescribed in this policy.</t>
  </si>
  <si>
    <t>Purchase Order (PO) on company letterhead (with signature &amp; stamp). In case of system generated PO, sign and stamp not required. In case Purchase Order (PO) not on Company Letter Head, e-mail from official email ID (i.e. @companydomain) is acceptable.</t>
  </si>
  <si>
    <t>GST Certifcate mandatory to be checked in cases where GST input credit is availed (e.g. in case of purchases by corporates, leasing companies, rental companies etc.)</t>
  </si>
  <si>
    <t>Any other document required for vehicle purchase process to be taken by dealer, including Govt. issued ID card for ID &amp; address proof, financing related, exchange related documents, etc. - as the case may be.</t>
  </si>
  <si>
    <t>All the copies of customer documents needs to be validated with the Original documents by the dealer.</t>
  </si>
  <si>
    <t>Upload DMS Retail Invoice of Customer with customer sign &amp; Dealer seal and sign/ digital signature</t>
  </si>
  <si>
    <t>Upload customer undertaking of discount received under Corporate Privilege Policy</t>
  </si>
  <si>
    <t>Upload DMS Disclaimer with customer sign &amp; Dealer seal and sign/ digital signature</t>
  </si>
  <si>
    <t>The above list to be cross checked by ZAMs while approving dealer claims</t>
  </si>
  <si>
    <t>Disclaimer</t>
  </si>
  <si>
    <t>The contents of this document must not be shared, copied, emailed, reproduced, or distributed outside Mahindra or its authorized dealerships under any circumstances.</t>
  </si>
  <si>
    <t>This document is to be used strictly for official purposes related to Mahindra and its dealerships. Any unauthorized use is strictly prohibited.</t>
  </si>
  <si>
    <t>Upon cessation of employment with Mahindra or its dealership, the custodian of this document agrees not to misuse, disclose, or exploit any information contained in this document for personal, professional, or commercial purposes.</t>
  </si>
  <si>
    <t>"Z" SIGNATURE</t>
  </si>
  <si>
    <t>"Y" PREMIUM</t>
  </si>
  <si>
    <t>"F" FOCUS</t>
  </si>
  <si>
    <t>"A"</t>
  </si>
  <si>
    <t>"B"</t>
  </si>
  <si>
    <t xml:space="preserve">S. No. </t>
  </si>
  <si>
    <t>Corporate Type</t>
  </si>
  <si>
    <t>Corporate Description</t>
  </si>
  <si>
    <t>Corporate Code</t>
  </si>
  <si>
    <t>360 ONE WAM Ltd.</t>
  </si>
  <si>
    <t>CO - Major</t>
  </si>
  <si>
    <t>Aditya Birla Lifestyle Brands Ltd.</t>
  </si>
  <si>
    <t>C1, C3</t>
  </si>
  <si>
    <t>A.P Securitas Pvt. Ltd.</t>
  </si>
  <si>
    <t>Bristlecone India Ltd.</t>
  </si>
  <si>
    <t>ABB India Ltd.</t>
  </si>
  <si>
    <t>Aegis Logistics Ltd.</t>
  </si>
  <si>
    <t>A2Z Online Services Pvt. Ltd.</t>
  </si>
  <si>
    <t>Classic Legends Pvt. Ltd.</t>
  </si>
  <si>
    <t>ACC Ltd.</t>
  </si>
  <si>
    <t>Air India Ltd.</t>
  </si>
  <si>
    <t>Aakash Oil Field Services Pvt. Ltd.</t>
  </si>
  <si>
    <t>Adani Energy Solutions Ltd.</t>
  </si>
  <si>
    <t>Air India SATS Airport Services Pvt. Ltd.</t>
  </si>
  <si>
    <t>Acer India Pvt. Ltd.</t>
  </si>
  <si>
    <t>Gromax Agri Equipment Ltd.</t>
  </si>
  <si>
    <t>Adani Enterprises Ltd.</t>
  </si>
  <si>
    <t>ANI Technologies Pvt. Ltd. (Ola)</t>
  </si>
  <si>
    <t>Adecco India Pvt. Ltd.</t>
  </si>
  <si>
    <t>M &amp; M Benefit Trust</t>
  </si>
  <si>
    <t>Adani Green Energy Ltd.</t>
  </si>
  <si>
    <t>Aptia Group India Pvt. Ltd.</t>
  </si>
  <si>
    <t>Adidas India Marketing Pvt. Ltd.</t>
  </si>
  <si>
    <t>M.I.T.R.A Agro Equipments Pvt. Ltd.</t>
  </si>
  <si>
    <t>Adani Ports and Special Economic Zone Ltd.</t>
  </si>
  <si>
    <t>ArcelorMittal Nippon Steel India Ltd.</t>
  </si>
  <si>
    <t>ADM Agro Industries India Pvt. Ltd.</t>
  </si>
  <si>
    <t>Mahindra &amp; Mahindra Contech Ltd.</t>
  </si>
  <si>
    <t>Adani Power Ltd.</t>
  </si>
  <si>
    <t>Brainbees Solutions Ltd.</t>
  </si>
  <si>
    <t>ADP India Pvt. Ltd.</t>
  </si>
  <si>
    <t>Mahindra &amp; Mahindra ESOP Trust</t>
  </si>
  <si>
    <t>Adani Total Gas Ltd.</t>
  </si>
  <si>
    <t>Ferns N Petals Pvt. Ltd.</t>
  </si>
  <si>
    <t>Adyar Ananda Bhavan Sweets India Pvt. Ltd.</t>
  </si>
  <si>
    <t>Mahindra &amp; Mahindra Ltd.</t>
  </si>
  <si>
    <t>Aditya Birla Capital Ltd.</t>
  </si>
  <si>
    <t>Afcons Infrastructure Ltd.</t>
  </si>
  <si>
    <t>Mahindra Accelo Ltd.</t>
  </si>
  <si>
    <t>Airplaza Retail Holdings Pvt. Ltd. (Vishal Megamart)</t>
  </si>
  <si>
    <t>AGA Publications Ltd. (Swatantra Vaartha)</t>
  </si>
  <si>
    <t>Mahindra Aerospace Pvt. Ltd.</t>
  </si>
  <si>
    <t>Alkem Laboratories Ltd.</t>
  </si>
  <si>
    <t>Gulf Oil Lubricants India Ltd.</t>
  </si>
  <si>
    <t>AGI Greenpac Ltd.</t>
  </si>
  <si>
    <t>Mahindra Agri Solutions Ltd.</t>
  </si>
  <si>
    <t>Ambuja Cements Ltd.</t>
  </si>
  <si>
    <t>Honda Cars India Ltd.</t>
  </si>
  <si>
    <t>Agilent Technologies India Pvt. Ltd.</t>
  </si>
  <si>
    <t>Mahindra Defence Systems Ltd.</t>
  </si>
  <si>
    <t>APL Apollo Tubes Ltd.</t>
  </si>
  <si>
    <t>Hyundai Motor India Ltd.</t>
  </si>
  <si>
    <t>Agrocel Industries Pvt. Ltd.</t>
  </si>
  <si>
    <t>Mahindra Electric Automobile Ltd.</t>
  </si>
  <si>
    <t>Apollo Hospitals Enterprise Ltd.</t>
  </si>
  <si>
    <t>IDBI Bank Ltd.</t>
  </si>
  <si>
    <t>AHA Oil Field Services Pvt. Ltd.</t>
  </si>
  <si>
    <t>Mahindra EPC Irrigation Ltd.</t>
  </si>
  <si>
    <t>Ashok Leyland Ltd.</t>
  </si>
  <si>
    <t>Akshaya Patra Foundation</t>
  </si>
  <si>
    <t>Mahindra First Choice Wheels Ltd.</t>
  </si>
  <si>
    <t>Asian Paints Ltd.</t>
  </si>
  <si>
    <t>ITC Infotech India Ltd.</t>
  </si>
  <si>
    <t>Akzo Nobel India Ltd.</t>
  </si>
  <si>
    <t>Mahindra Holidays &amp; Resorts India Ltd.</t>
  </si>
  <si>
    <t>Astral Ltd.</t>
  </si>
  <si>
    <t>JSW Energy Ltd.</t>
  </si>
  <si>
    <t>Alcatel-Lucent India Ltd.</t>
  </si>
  <si>
    <t>ACB (India) Ltd.</t>
  </si>
  <si>
    <t>Mahindra Integrated Business Solutions Pvt. Ltd.</t>
  </si>
  <si>
    <t>AU Small Finance Bank Ltd.</t>
  </si>
  <si>
    <t>JSW MG Motor India Pvt. Ltd.</t>
  </si>
  <si>
    <t>Allcargo Logistics Ltd.</t>
  </si>
  <si>
    <t>Mahindra Last Mile Mobility Ltd.</t>
  </si>
  <si>
    <t>Aurobindo Pharma Ltd.</t>
  </si>
  <si>
    <t>JSW Steel Ltd.</t>
  </si>
  <si>
    <t>Allstate India Pvt. Ltd.</t>
  </si>
  <si>
    <t>Mahindra Lifespace Developers Ltd.</t>
  </si>
  <si>
    <t>Kia India Pvt. Ltd.</t>
  </si>
  <si>
    <t>Alstom Transport India Ltd.</t>
  </si>
  <si>
    <t>Mahindra Logistics Ltd.</t>
  </si>
  <si>
    <t>Axis Bank Ltd.</t>
  </si>
  <si>
    <t>Kirloskar Brothers Ltd.</t>
  </si>
  <si>
    <t>Altran Technologies India Pvt. Ltd.</t>
  </si>
  <si>
    <t>Mahindra Financial Services Ltd. (own or employee - not leasing)</t>
  </si>
  <si>
    <t>Bajaj Auto Ltd.</t>
  </si>
  <si>
    <t>Kirloskar Electric Company Ltd.</t>
  </si>
  <si>
    <t>Amalgamations Pvt. Ltd.</t>
  </si>
  <si>
    <t>Bajaj Finance Ltd.</t>
  </si>
  <si>
    <t>Kirloskar Ferrous Industries Ltd.</t>
  </si>
  <si>
    <t>Ampersand Education Pvt. Ltd.</t>
  </si>
  <si>
    <t>Mahindra Rural Housing Finance Ltd.</t>
  </si>
  <si>
    <t>Bajaj Finserv Ltd.</t>
  </si>
  <si>
    <t>Kirloskar Integrated Technologies Pvt. Ltd.</t>
  </si>
  <si>
    <t>AMX Innovations Pvt. Ltd.</t>
  </si>
  <si>
    <t>Mahindra Solarize Pvt. Ltd.</t>
  </si>
  <si>
    <t>Bajaj Holdings &amp; Investment Ltd.</t>
  </si>
  <si>
    <t>Kirloskar Oil Engines Ltd.</t>
  </si>
  <si>
    <t>Ananda Dairy Ltd.</t>
  </si>
  <si>
    <t>Mahindra Summit Agriscience Ltd.</t>
  </si>
  <si>
    <t>Bajaj Housing Finance Ltd.</t>
  </si>
  <si>
    <t>Kirloskar Pneumatic Company Ltd.</t>
  </si>
  <si>
    <t>Andhra Pradesh Power Generation Corporation Ltd. (APGENCO)</t>
  </si>
  <si>
    <t>Mahindra Susten Pvt. Ltd.</t>
  </si>
  <si>
    <t>Bank of Baroda</t>
  </si>
  <si>
    <t>Angel One Ltd.</t>
  </si>
  <si>
    <t>Mahindra Teqo Pvt. Ltd.</t>
  </si>
  <si>
    <t>Bank of India Ltd.</t>
  </si>
  <si>
    <t>Maruti Suzuki India Ltd.</t>
  </si>
  <si>
    <t>Anheuser Busch Inbev Pvt. Ltd. (SabMiller)</t>
  </si>
  <si>
    <t>NBS International Ltd.</t>
  </si>
  <si>
    <t>Bharat Dynamics Ltd.</t>
  </si>
  <si>
    <t>Mastercard India Services Pvt. Ltd.</t>
  </si>
  <si>
    <t>Anmol Industries Ltd.</t>
  </si>
  <si>
    <t>SML Mahindra Ltd.</t>
  </si>
  <si>
    <t>Mother Dairy Fruit Vegetable Pvt. Ltd.</t>
  </si>
  <si>
    <t>Ansal Properties &amp; Infrastructure Ltd.</t>
  </si>
  <si>
    <t>Swaraj Engines Ltd.</t>
  </si>
  <si>
    <t>Bharat Forge Ltd.</t>
  </si>
  <si>
    <t>Myntra Designs Pvt. Ltd.</t>
  </si>
  <si>
    <t>ANZ Operations and Technology Pvt. Ltd.</t>
  </si>
  <si>
    <t>Tech Mahindra Ltd.</t>
  </si>
  <si>
    <t>Myntra Jabong India Pvt. Ltd.</t>
  </si>
  <si>
    <t>Apco Infratech Pvt. Ltd.</t>
  </si>
  <si>
    <t>Nxgen Sustainable Energy Pvt. Ltd.</t>
  </si>
  <si>
    <t>Arcee Industries Ltd.</t>
  </si>
  <si>
    <t>Mahindra AFS Dealer Principal Only</t>
  </si>
  <si>
    <t>Bharti Airtel Ltd.</t>
  </si>
  <si>
    <t>OnePlus Technology India Pvt. Ltd.</t>
  </si>
  <si>
    <t>ARSS Infrastructure Projects Ltd.</t>
  </si>
  <si>
    <t>Mahindra AFS Supplier Owners Only</t>
  </si>
  <si>
    <t>Bharti Hexacom Ltd.</t>
  </si>
  <si>
    <t>Practo Technologies Pvt. Ltd.</t>
  </si>
  <si>
    <t>Ashapura Minechem Ltd.</t>
  </si>
  <si>
    <t>Biocon Ltd.</t>
  </si>
  <si>
    <t>Puma Sports India Pvt. Ltd.</t>
  </si>
  <si>
    <t>Ashoka Buildcon Ltd.</t>
  </si>
  <si>
    <t>Blue Star Ltd.</t>
  </si>
  <si>
    <t>Ranbaxy Laboratories Ltd.</t>
  </si>
  <si>
    <t>AT &amp; T Communication Services India Pvt. Ltd.</t>
  </si>
  <si>
    <t>Bosch Ltd.</t>
  </si>
  <si>
    <t>Reliance Infrastructure Ltd.</t>
  </si>
  <si>
    <t>AT&amp;T Global Network Services India Pvt. Ltd.</t>
  </si>
  <si>
    <t>Britannia Industries Ltd.</t>
  </si>
  <si>
    <t>Reliance Jio Infocomm Ltd.</t>
  </si>
  <si>
    <t>Atlas Copco (India) Pvt. Ltd.</t>
  </si>
  <si>
    <t>BSE Ltd.</t>
  </si>
  <si>
    <t>Reliance Retail Ventures Ltd.</t>
  </si>
  <si>
    <t>Automotive Manufacturers Pvt. Ltd.</t>
  </si>
  <si>
    <t>Canara Bank Ltd.</t>
  </si>
  <si>
    <t>Avenues India Pvt. Ltd. (CCAvenue)</t>
  </si>
  <si>
    <t>CG Power and Industrial Solutions Ltd.</t>
  </si>
  <si>
    <t>Secure Meters Ltd.</t>
  </si>
  <si>
    <t>AXA Global Business Services Pvt. Ltd.</t>
  </si>
  <si>
    <t>Cholamandalam Investment and Finance Company Ltd.</t>
  </si>
  <si>
    <t>Shakti Pumps (India) Ltd.</t>
  </si>
  <si>
    <t>B.G. Shirke Construction Technology Pvt. Ltd.</t>
  </si>
  <si>
    <t>Cipla Ltd.</t>
  </si>
  <si>
    <t>Skoda Auto Volkswagen India Pvt. Ltd.</t>
  </si>
  <si>
    <t>Balaji Wafers Pvt. Ltd.</t>
  </si>
  <si>
    <t>Coal India Ltd.</t>
  </si>
  <si>
    <t>SmartShift Logistics Solutions Private Ltd.</t>
  </si>
  <si>
    <t>Balkrishna Industries Ltd.</t>
  </si>
  <si>
    <t>Cochin Shipyard Ltd.</t>
  </si>
  <si>
    <t>Stellantis India Pvt. Ltd.</t>
  </si>
  <si>
    <t>Bandhan Bank Ltd.</t>
  </si>
  <si>
    <t>Coforge Ltd.</t>
  </si>
  <si>
    <t>Sterlite Power Transmission Ltd.</t>
  </si>
  <si>
    <t>Bangalore International Airport Ltd. (BIAL)</t>
  </si>
  <si>
    <t>Colgate-Palmolive (India) Ltd.</t>
  </si>
  <si>
    <t>Tata Communications Ltd.</t>
  </si>
  <si>
    <t>Bangur Cement Ltd.</t>
  </si>
  <si>
    <t>Tata Consumer Products Ltd.</t>
  </si>
  <si>
    <t>Bank of Nova Scotia</t>
  </si>
  <si>
    <t>Coromandel International Ltd.</t>
  </si>
  <si>
    <t>Tata Elxsi Ltd.</t>
  </si>
  <si>
    <t>Barclays Bank PLC</t>
  </si>
  <si>
    <t>Cummins India Ltd.</t>
  </si>
  <si>
    <t>Bask Associates Pvt. Ltd.</t>
  </si>
  <si>
    <t>Dabur India Ltd.</t>
  </si>
  <si>
    <t>BAT India Pvt. Ltd.</t>
  </si>
  <si>
    <t>Divi's Laboratories Ltd.</t>
  </si>
  <si>
    <t>Tata Steel Ltd.</t>
  </si>
  <si>
    <t>Baxter India Pvt. Ltd.</t>
  </si>
  <si>
    <t>Dixon Technologies (India) Ltd.</t>
  </si>
  <si>
    <t>Tata Technologies Ltd.</t>
  </si>
  <si>
    <t>BC Contractors &amp; Cranes Pvt. Ltd.</t>
  </si>
  <si>
    <t>DLF Ltd.</t>
  </si>
  <si>
    <t>Tesla India Motors and Energy Pvt. Ltd.</t>
  </si>
  <si>
    <t>Berger Paints India Ltd.</t>
  </si>
  <si>
    <t>Dr. Reddy's Laboratories Ltd.</t>
  </si>
  <si>
    <t>Titan Company Ltd.</t>
  </si>
  <si>
    <t>BGR Energy Systems Ltd.</t>
  </si>
  <si>
    <t>Eicher Motors Ltd.</t>
  </si>
  <si>
    <t>Trent Ltd.</t>
  </si>
  <si>
    <t>Bharat Aluminium Company Ltd. (BALCO)</t>
  </si>
  <si>
    <t>Eternal Ltd. (Zomato)</t>
  </si>
  <si>
    <t>Uber India Systems Pvt. Ltd.</t>
  </si>
  <si>
    <t>Bharat Hotels Ltd. (Lalit)</t>
  </si>
  <si>
    <t>Exide Industries Ltd.</t>
  </si>
  <si>
    <t>V Guard Industries Ltd.</t>
  </si>
  <si>
    <t>Bihar Risk Management Consultancy Pvt. Ltd.</t>
  </si>
  <si>
    <t>Federal Bank Ltd.</t>
  </si>
  <si>
    <t>Vinfast Auto India Pvt. Ltd.</t>
  </si>
  <si>
    <t>Biostadt India Ltd.</t>
  </si>
  <si>
    <t>Fortis Healthcare Ltd.</t>
  </si>
  <si>
    <t>Visa Consolidated Support Services (India) Pvt. Ltd.</t>
  </si>
  <si>
    <t>Birla Corporation Ltd.</t>
  </si>
  <si>
    <t>Voltas Ltd.</t>
  </si>
  <si>
    <t>Birla Electricals Ltd.</t>
  </si>
  <si>
    <t>GAIL (India) Ltd.</t>
  </si>
  <si>
    <t>Volvo Auto India Pvt. Ltd.</t>
  </si>
  <si>
    <t>Blubble Pvt. Ltd. (Turno)</t>
  </si>
  <si>
    <t>Amala Institute of Medical Sciences (AIMS)</t>
  </si>
  <si>
    <t>Glenmark Pharmaceuticals Ltd.</t>
  </si>
  <si>
    <t>Volvo Buses India Pvt. Ltd.</t>
  </si>
  <si>
    <t>Blue Dart Express Ltd.</t>
  </si>
  <si>
    <t>Volvo Financial Services (India) Pvt. Ltd.</t>
  </si>
  <si>
    <t>BMW India Pvt. Ltd.</t>
  </si>
  <si>
    <t>Godfrey Phillips India Ltd.</t>
  </si>
  <si>
    <t>Volvo Group India Pvt. Ltd.</t>
  </si>
  <si>
    <t>Bochasanwasi Shri Akshar Purushottam Swaminarayan Sanstha (BAPS)</t>
  </si>
  <si>
    <t>Godrej Consumer Products Ltd.</t>
  </si>
  <si>
    <t>Volvo India Pvt. Ltd.</t>
  </si>
  <si>
    <t>Bombay Inteligence Security (India) Ltd.</t>
  </si>
  <si>
    <t>Godrej Properties Ltd.</t>
  </si>
  <si>
    <t>Xiaomi Technology India Pvt. Ltd.</t>
  </si>
  <si>
    <t>Bonn Nutrients Pvt. Ltd.</t>
  </si>
  <si>
    <t>Grasim Industries Ltd.</t>
  </si>
  <si>
    <t>CN - Leasing</t>
  </si>
  <si>
    <t>ALD Automotive Pvt. Ltd.</t>
  </si>
  <si>
    <t>Bridgestone India Pvt. Ltd.</t>
  </si>
  <si>
    <t>Havells India Ltd.</t>
  </si>
  <si>
    <t>Alt Nrg Pvt. Ltd.</t>
  </si>
  <si>
    <t>BSES Rajdhani Power Ltd.</t>
  </si>
  <si>
    <t>HCL Technologies Ltd.</t>
  </si>
  <si>
    <t>Arval India Pvt. Ltd.</t>
  </si>
  <si>
    <t>BVC Logistics Pvt. Ltd.</t>
  </si>
  <si>
    <t>HDFC Asset Management Company Ltd.</t>
  </si>
  <si>
    <t>Avis India Mobility Solutions Pvt. Ltd.</t>
  </si>
  <si>
    <t>BVG India Ltd.</t>
  </si>
  <si>
    <t>HDFC Bank Ltd.</t>
  </si>
  <si>
    <t>Clix Capital Services Pvt. Ltd.</t>
  </si>
  <si>
    <t>C &amp; C Constructions Ltd.</t>
  </si>
  <si>
    <t>Hero Motocorp Ltd.</t>
  </si>
  <si>
    <t>Dream Road Technologies Pvt. Ltd.</t>
  </si>
  <si>
    <t>C&amp;C Infrastructures Pvt. Ltd.</t>
  </si>
  <si>
    <t>Hindalco Industries Ltd.</t>
  </si>
  <si>
    <t>Dreamz MyNewCar India Pvt. Ltd.</t>
  </si>
  <si>
    <t>California Software Company Ltd.</t>
  </si>
  <si>
    <t>Eminent Transit Corporate Solutions Pvt. Ltd.</t>
  </si>
  <si>
    <t>Canon India Pvt. Ltd.</t>
  </si>
  <si>
    <t>JMD Car Leasing</t>
  </si>
  <si>
    <t>Carlsberg India Pvt. Ltd.</t>
  </si>
  <si>
    <t>Kotak Mahindra Prime Ltd.</t>
  </si>
  <si>
    <t>Cars24 Services Pvt. Ltd.</t>
  </si>
  <si>
    <t>Hindustan Zinc Ltd.</t>
  </si>
  <si>
    <t>Lease Plan India Pvt. Ltd.</t>
  </si>
  <si>
    <t>Cashtech Solutions India Pvt. Ltd.</t>
  </si>
  <si>
    <t>Hitachi Energy India Ltd.</t>
  </si>
  <si>
    <t>Castex Technologies Ltd.</t>
  </si>
  <si>
    <t>Mercury Car Rentals Private Ltd.</t>
  </si>
  <si>
    <t>Cavinkare Pvt. Ltd.</t>
  </si>
  <si>
    <t>ICICI Bank Ltd.</t>
  </si>
  <si>
    <t>ORIX Corporation India Ltd.</t>
  </si>
  <si>
    <t>CBAY Systems India Pvt. Ltd.</t>
  </si>
  <si>
    <t>IDFC First Bank Ltd.</t>
  </si>
  <si>
    <t>ORIX Leasing &amp; Financial Services India Ltd.</t>
  </si>
  <si>
    <t>CDC Global Services (India) Pvt. Ltd.</t>
  </si>
  <si>
    <t>Indian Bank</t>
  </si>
  <si>
    <t>RegalIndia Tours and Travels Pvt. Ltd.</t>
  </si>
  <si>
    <t>Reliance Capital Ltd.</t>
  </si>
  <si>
    <t>CESC Ltd.</t>
  </si>
  <si>
    <t>APA Engineering Pvt. Ltd.</t>
  </si>
  <si>
    <t>Shriram Finance Ltd.</t>
  </si>
  <si>
    <t>CGI Information Systems and Management Consultants Pvt. Ltd.</t>
  </si>
  <si>
    <t>Shriram Transport Finance Company Ltd.</t>
  </si>
  <si>
    <t>Chambal Fertilizers &amp; Chemicals Ltd.</t>
  </si>
  <si>
    <t>SMAS Autoleasing India Pvt. Ltd.</t>
  </si>
  <si>
    <t>Chandigarh Distillers &amp; Bottlers Ltd.</t>
  </si>
  <si>
    <t>Sundaram Finance Ltd.</t>
  </si>
  <si>
    <t>Chandrani Compliments &amp; Export Pvt. Ltd.</t>
  </si>
  <si>
    <t>Indus Towers Ltd.</t>
  </si>
  <si>
    <t>Tata Capital Financial Services Ltd.</t>
  </si>
  <si>
    <t>Checkmate Security Solutions Pvt. Ltd.</t>
  </si>
  <si>
    <t>IndusInd Bank Ltd.</t>
  </si>
  <si>
    <t>Tata Capital Ltd.</t>
  </si>
  <si>
    <t>Chemplast Sanmar Ltd.</t>
  </si>
  <si>
    <t>Appidi Technologies Pvt. Ltd.</t>
  </si>
  <si>
    <t>Info Edge (India) Ltd. (Naukri)</t>
  </si>
  <si>
    <t>Toyota Financial Services India Ltd.</t>
  </si>
  <si>
    <t>Chettinad Cement Corporation Ltd.</t>
  </si>
  <si>
    <t>Infosys Ltd.</t>
  </si>
  <si>
    <t>Tristar Leasing Pvt. Ltd.</t>
  </si>
  <si>
    <t>Cholamandalam Financial Holdings Ltd.</t>
  </si>
  <si>
    <t>InterGlobe Aviation Ltd. (Indigo)</t>
  </si>
  <si>
    <t>CP - News</t>
  </si>
  <si>
    <t>ABP Pvt. Ltd.</t>
  </si>
  <si>
    <t>IRB Infrastructure Developers Ltd.</t>
  </si>
  <si>
    <t>Amar Ujala Ltd.</t>
  </si>
  <si>
    <t>CitiCorp Finance (India) Ltd.</t>
  </si>
  <si>
    <t>ITC Hotels Ltd.</t>
  </si>
  <si>
    <t>City Union Bank Ltd.</t>
  </si>
  <si>
    <t>ITC Ltd.</t>
  </si>
  <si>
    <t>CJ Darcl Logistics Ltd.</t>
  </si>
  <si>
    <t>Aries Agro Ltd.</t>
  </si>
  <si>
    <t>Jindal Steel Ltd.</t>
  </si>
  <si>
    <t>BBC TopGear India Magazine</t>
  </si>
  <si>
    <t>CMS Info Systems Ltd.</t>
  </si>
  <si>
    <t>Jio Financial Services Ltd.</t>
  </si>
  <si>
    <t>BBC World Service India Pvt. Ltd.</t>
  </si>
  <si>
    <t>Coastal Projects Ltd.</t>
  </si>
  <si>
    <t>Connaught Plaza Restaurants Pvt. Ltd. (McDonalds)</t>
  </si>
  <si>
    <t>Asha Automobiles Pvt. Ltd.</t>
  </si>
  <si>
    <t>Kalyan Jewellers India Ltd.</t>
  </si>
  <si>
    <t>Business Standard Pvt. Ltd.</t>
  </si>
  <si>
    <t>Convergys India Services Pvt. Ltd.</t>
  </si>
  <si>
    <t>KEI Industries Ltd.</t>
  </si>
  <si>
    <t>Corteva Agriscience Seeds Pvt. Ltd.</t>
  </si>
  <si>
    <t>Kotak Mahindra Bank Ltd.</t>
  </si>
  <si>
    <t>DB Corp. Ltd. (Dainik Bhaskar)</t>
  </si>
  <si>
    <t>Credit Suisse Securities (India) Pvt. Ltd.</t>
  </si>
  <si>
    <t>KPIT Technologies Ltd.</t>
  </si>
  <si>
    <t>Daily Thanthi Pvt. Ltd.</t>
  </si>
  <si>
    <t>CritcaLog India Pvt. Ltd.</t>
  </si>
  <si>
    <t>Aster Pvt. Ltd.</t>
  </si>
  <si>
    <t>L&amp;T Finance Ltd.</t>
  </si>
  <si>
    <t>Deccan Chronicle Holdings Ltd.</t>
  </si>
  <si>
    <t>Cyient Ltd.</t>
  </si>
  <si>
    <t>Dalmia Bharat Ltd.</t>
  </si>
  <si>
    <t>LIC Housing Finance Ltd.</t>
  </si>
  <si>
    <t>HT Media Ltd.</t>
  </si>
  <si>
    <t>Dalmia Bharat Sugar &amp; Industries Ltd.</t>
  </si>
  <si>
    <t>Lodha Developers Ltd.</t>
  </si>
  <si>
    <t>Jagran Prakashan Ltd. (Dainik Jagran)</t>
  </si>
  <si>
    <t>Datamatics Global Services Ltd.</t>
  </si>
  <si>
    <t>LTIMindtree Ltd.</t>
  </si>
  <si>
    <t>Jiostar India Pvt. Ltd.</t>
  </si>
  <si>
    <t>DCB Bank Ltd.</t>
  </si>
  <si>
    <t>Lupin Ltd.</t>
  </si>
  <si>
    <t>DeBeers India Pvt. Ltd.</t>
  </si>
  <si>
    <t>Mankind Pharma Ltd.</t>
  </si>
  <si>
    <t>Delhi Waste Management Najafgarh Pvt. Ltd.</t>
  </si>
  <si>
    <t>Marico Ltd.</t>
  </si>
  <si>
    <t>Network18 Media &amp; Investments Ltd.</t>
  </si>
  <si>
    <t>Delhivery Ltd.</t>
  </si>
  <si>
    <t>Max Healthcare Institute Ltd.</t>
  </si>
  <si>
    <t>Denso International India Pvt. Ltd.</t>
  </si>
  <si>
    <t>Mazagon Dock Shipbuilders Ltd.</t>
  </si>
  <si>
    <t>Outlook Publishing (India) Pvt. Ltd.</t>
  </si>
  <si>
    <t>Dependo Logistics Solutions Pvt. Ltd.</t>
  </si>
  <si>
    <t>Motil Oswal Financial Services Ltd.</t>
  </si>
  <si>
    <t>Press Trust of India</t>
  </si>
  <si>
    <t>Dhani Services Ltd.</t>
  </si>
  <si>
    <t>Mphasis Ltd.</t>
  </si>
  <si>
    <t>Professional Publications Pvt. Ltd. (Dinamalar)</t>
  </si>
  <si>
    <t>DHL Express (India) Pvt. Ltd.</t>
  </si>
  <si>
    <t>Muthoot Finance Ltd.</t>
  </si>
  <si>
    <t>The Indian Express Pvt. Ltd.</t>
  </si>
  <si>
    <t>Doshion Pvt. Ltd.</t>
  </si>
  <si>
    <t>The Malayala Manorama Co Pvt. Ltd.</t>
  </si>
  <si>
    <t>Dow AgroSciences India Pvt. Ltd.</t>
  </si>
  <si>
    <t>Nestle India Ltd.</t>
  </si>
  <si>
    <t>Dow Chemical International Pvt. Ltd.</t>
  </si>
  <si>
    <t>NHPC Ltd.</t>
  </si>
  <si>
    <t>Times Global Broadcasting Company Ltd.</t>
  </si>
  <si>
    <t>DTDC Express Ltd.</t>
  </si>
  <si>
    <t>NMDC Ltd.</t>
  </si>
  <si>
    <t>Dunkin Donuts Pvt. Ltd.</t>
  </si>
  <si>
    <t>NTPC Green Energy Ltd.</t>
  </si>
  <si>
    <t>United News of India</t>
  </si>
  <si>
    <t>DXC Technology India Pvt. Ltd.</t>
  </si>
  <si>
    <t>NTPC Ltd.</t>
  </si>
  <si>
    <t>Eatclub Brands Pvt. Ltd. (Box8)</t>
  </si>
  <si>
    <t>Oberoi Realty Ltd.</t>
  </si>
  <si>
    <t>Zee Entertainment Enterprises Ltd.</t>
  </si>
  <si>
    <t>Eaton Technologies Pvt. Ltd.</t>
  </si>
  <si>
    <t>Zee Media Corporation Ltd.</t>
  </si>
  <si>
    <t>Eco Green Recycling Pvt. Ltd.</t>
  </si>
  <si>
    <t>Oil India Ltd.</t>
  </si>
  <si>
    <t>C8 - Central Govt. &amp; employees</t>
  </si>
  <si>
    <t>Indian Railways</t>
  </si>
  <si>
    <t>Ecom Express Ltd.</t>
  </si>
  <si>
    <t>One 97 Communications Ltd. (Paytm)</t>
  </si>
  <si>
    <t>Educomp Solutions Ltd.</t>
  </si>
  <si>
    <t>Oracle Financial Services Software Ltd.</t>
  </si>
  <si>
    <t>C7 - Individuals, Groups, Associations</t>
  </si>
  <si>
    <t>LIC Agents</t>
  </si>
  <si>
    <t>EID Parry (India) Ltd.</t>
  </si>
  <si>
    <t>Page Industries Ltd.</t>
  </si>
  <si>
    <t>Doctors Advantage</t>
  </si>
  <si>
    <t>Elgi Equipments Ltd.</t>
  </si>
  <si>
    <t>Patanjali Foods Ltd.</t>
  </si>
  <si>
    <t>C2 - Corporates not listed in Policy</t>
  </si>
  <si>
    <t>Shri Vajpayee Bankable Yojna</t>
  </si>
  <si>
    <t>Emerson Electric Company (India) Pvt. Ltd.</t>
  </si>
  <si>
    <t>PB Fintech Ltd. (Policybazaar)</t>
  </si>
  <si>
    <t>Bharat Diamond Bourse Members</t>
  </si>
  <si>
    <t>Entertainment Network (India) Ltd. (Radio Mirchi)</t>
  </si>
  <si>
    <t>Persistent Systems Ltd.</t>
  </si>
  <si>
    <t>NGOs with Section 12A and 80G</t>
  </si>
  <si>
    <t>ERA Infra Engineering Ltd.</t>
  </si>
  <si>
    <t>Phoenix Mills Ltd.</t>
  </si>
  <si>
    <t>Eros Properties Pvt. Ltd.</t>
  </si>
  <si>
    <t>PI Industries Ltd.</t>
  </si>
  <si>
    <t>Essar Constructions India Ltd.</t>
  </si>
  <si>
    <t>Pidilite Industries Ltd.</t>
  </si>
  <si>
    <t>Essar Shipping Ltd.</t>
  </si>
  <si>
    <t>Polycab India Ltd.</t>
  </si>
  <si>
    <t>Everest Industries Ltd.</t>
  </si>
  <si>
    <t>EXL Service.com (India) Pvt. Ltd.</t>
  </si>
  <si>
    <t>ExxonMobil Company India Pvt. Ltd.</t>
  </si>
  <si>
    <t>Premier Energies Ltd.</t>
  </si>
  <si>
    <t>Fab Hotels Pvt. Ltd.</t>
  </si>
  <si>
    <t>Prestige Estates Projects Ltd.</t>
  </si>
  <si>
    <t>Federal Security Pvt. Ltd.</t>
  </si>
  <si>
    <t>Bhadra Hybrid Seeds Co.</t>
  </si>
  <si>
    <t>Fedex Express (India) Pvt. Ltd.</t>
  </si>
  <si>
    <t>Rail Vikas Nigam Ltd.</t>
  </si>
  <si>
    <t>Fedex Express Transportation &amp; Supply Chain Services (India) Pvt. Ltd.</t>
  </si>
  <si>
    <t>REC Ltd.</t>
  </si>
  <si>
    <t>Fedex Logistics India Pvt. Ltd.</t>
  </si>
  <si>
    <t>Reliance Industries Ltd.</t>
  </si>
  <si>
    <t>First Flight Couriers Ltd.</t>
  </si>
  <si>
    <t>Samvardhana Motherson International Ltd.</t>
  </si>
  <si>
    <t>Force Motors Ltd.</t>
  </si>
  <si>
    <t>SBI Cards and Payment Services Ltd.</t>
  </si>
  <si>
    <t>Franklin Templeton Asset Management (India) Pvt. Ltd.</t>
  </si>
  <si>
    <t>Shree Cement Ltd.</t>
  </si>
  <si>
    <t>Future Supply Chain Solutions Ltd.</t>
  </si>
  <si>
    <t>Siemens Energy Industrial Turbomachinery India Pvt. Ltd.</t>
  </si>
  <si>
    <t>FutureBazaar India Ltd.</t>
  </si>
  <si>
    <t>Siemens Ltd.</t>
  </si>
  <si>
    <t>G4S Secure Solutions (India) Pvt. Ltd.</t>
  </si>
  <si>
    <t>Solar Industries India Ltd.</t>
  </si>
  <si>
    <t>Gabriel India Ltd.</t>
  </si>
  <si>
    <t>Sona BLW Precision Forgings Ltd.</t>
  </si>
  <si>
    <t>Gammon India Ltd.</t>
  </si>
  <si>
    <t>SRF Ltd.</t>
  </si>
  <si>
    <t>Gannon Dunkerley &amp; Co. Ltd.</t>
  </si>
  <si>
    <t>GATI Express &amp; Supply Chain Pvt. Ltd.</t>
  </si>
  <si>
    <t>Gayatri Projects Ltd.</t>
  </si>
  <si>
    <t>Sun Pharmaceutical Industries Ltd.</t>
  </si>
  <si>
    <t>GE BE Pvt. Ltd.</t>
  </si>
  <si>
    <t>Supreme Industries Ltd.</t>
  </si>
  <si>
    <t>Geometric Ltd.</t>
  </si>
  <si>
    <t>Suzlon Energy Ltd.</t>
  </si>
  <si>
    <t>GHM Works Pvt. Ltd.</t>
  </si>
  <si>
    <t>Swiggy Ltd.</t>
  </si>
  <si>
    <t>Gillette India Ltd.</t>
  </si>
  <si>
    <t>Blazeflash Couriers Ltd.</t>
  </si>
  <si>
    <t>Gitanjali Gems Ltd.</t>
  </si>
  <si>
    <t>Torrent Pharmaceuticals Ltd.</t>
  </si>
  <si>
    <t>Golden Aero Logistics &amp; Concierge Services Pvt. Ltd.</t>
  </si>
  <si>
    <t>Torrent Power Ltd.</t>
  </si>
  <si>
    <t>Goodrich Aerospace Services Pvt. Ltd.</t>
  </si>
  <si>
    <t>Goodricke Group Ltd.</t>
  </si>
  <si>
    <t>TVS Motor Company Ltd.</t>
  </si>
  <si>
    <t>GR Infraprojects Ltd.</t>
  </si>
  <si>
    <t>UltraTech Cement Ltd.</t>
  </si>
  <si>
    <t>Great Eastern Energy Corporation Ltd.</t>
  </si>
  <si>
    <t>Union Bank of India</t>
  </si>
  <si>
    <t>Greaves Cotton Ltd.</t>
  </si>
  <si>
    <t>United Spirits Ltd.</t>
  </si>
  <si>
    <t>Green Drive Auto Services Pvt. Ltd.</t>
  </si>
  <si>
    <t>UPL Ltd.</t>
  </si>
  <si>
    <t>Green Planet Energy Pvt. Ltd.</t>
  </si>
  <si>
    <t>Varun Beverages Ltd.</t>
  </si>
  <si>
    <t>Groz Beckret South Asia Pvt. Ltd.</t>
  </si>
  <si>
    <t>Vedanta Ltd.</t>
  </si>
  <si>
    <t>GTL Infrastructure Ltd.</t>
  </si>
  <si>
    <t>Vodafone Idea Ltd.</t>
  </si>
  <si>
    <t>Gujarat Narmada Valley Fertilizers &amp; Chemicals Ltd.</t>
  </si>
  <si>
    <t>Waaree Energies Ltd.</t>
  </si>
  <si>
    <t>Gulf Air B.S.C. (C)</t>
  </si>
  <si>
    <t>Wipro Ltd.</t>
  </si>
  <si>
    <t>GVK Power &amp; Infrastructure Ltd.</t>
  </si>
  <si>
    <t>Yes Bank Ltd.</t>
  </si>
  <si>
    <t>GVR Infra Projects Ltd.</t>
  </si>
  <si>
    <t>Zydus Lifesciences Ltd.</t>
  </si>
  <si>
    <t>3M India Ltd.</t>
  </si>
  <si>
    <t>Hatsun Agro Product Ltd.</t>
  </si>
  <si>
    <t>Accenture India Pvt. Ltd.</t>
  </si>
  <si>
    <t>Henkel Adhesives Technologies India Pvt. Ltd.</t>
  </si>
  <si>
    <t>Accenture Services Pvt. Ltd.</t>
  </si>
  <si>
    <t>Heubach Colorants India Ltd.</t>
  </si>
  <si>
    <t>Accenture Solutions Pvt. Ltd.</t>
  </si>
  <si>
    <t>HG Infra Engineering Ltd.</t>
  </si>
  <si>
    <t>Adani Airport Holdings Ltd.</t>
  </si>
  <si>
    <t>Hilti India Pvt. Ltd.</t>
  </si>
  <si>
    <t>Aditya Birla Fashion and Retail Ltd.</t>
  </si>
  <si>
    <t>Himalaya Drug Company Pvt. Ltd.</t>
  </si>
  <si>
    <t>Aditya Birla Group</t>
  </si>
  <si>
    <t>Hindustan Construction Company Ltd. (HCC)</t>
  </si>
  <si>
    <t>Aditya Birla Nuvo Ltd.</t>
  </si>
  <si>
    <t>Hindustan Thompson Associates</t>
  </si>
  <si>
    <t>Adobe Systems India Pvt. Ltd.</t>
  </si>
  <si>
    <t>Hindusthan Engineering &amp; Industries Ltd.</t>
  </si>
  <si>
    <t>Airbus India Pvt. Ltd.</t>
  </si>
  <si>
    <t>Hindusthan National Glass &amp; Industries Ltd.</t>
  </si>
  <si>
    <t>Amazon Data Services India Pvt. Ltd.</t>
  </si>
  <si>
    <t>Honeywell Automation India Ltd.</t>
  </si>
  <si>
    <t>Amazon Retail India Pvt. Ltd.</t>
  </si>
  <si>
    <t>Honeywell Technology Solutions Lab Pvt. Ltd.</t>
  </si>
  <si>
    <t>Caparo Maruti Ltd.</t>
  </si>
  <si>
    <t>Amazon Seller Services Pvt. Ltd.</t>
  </si>
  <si>
    <t>Hotel Tunga International Pvt. Ltd.</t>
  </si>
  <si>
    <t>American Express Business Solutions (India) Pvt. Ltd.</t>
  </si>
  <si>
    <t>Huawei Telecommunications (India) Company Pvt. Ltd.</t>
  </si>
  <si>
    <t>American Express India Pvt. Ltd.</t>
  </si>
  <si>
    <t>Carborundum Universal Ltd.</t>
  </si>
  <si>
    <t>Apple India Pvt. Ltd.</t>
  </si>
  <si>
    <t>IIFL Finance Ltd.</t>
  </si>
  <si>
    <t>Arvind Ltd.</t>
  </si>
  <si>
    <t>Indeanta E-Mobility Pvt. Ltd.</t>
  </si>
  <si>
    <t>Cargill India Pvt. Ltd.</t>
  </si>
  <si>
    <t>Bain &amp; Company India Pvt. Ltd.</t>
  </si>
  <si>
    <t>India Medtronic Pvt. Ltd.</t>
  </si>
  <si>
    <t>BASF India Ltd.</t>
  </si>
  <si>
    <t>Indian Farmers Fertiliser Cooperative Ltd.</t>
  </si>
  <si>
    <t>Bharti Enterprises Ltd.</t>
  </si>
  <si>
    <t>Industrial &amp; Commercial Bank of China Ltd.</t>
  </si>
  <si>
    <t>Bharti Real Estate Ltd.</t>
  </si>
  <si>
    <t>Ingram Micro India Pvt. Ltd.</t>
  </si>
  <si>
    <t>Bisleri International Pvt. Ltd.</t>
  </si>
  <si>
    <t>Instakart Services Pvt. Ltd. (Flipkart)</t>
  </si>
  <si>
    <t>Boeing India Pvt. Ltd.</t>
  </si>
  <si>
    <t>Intas Pharmaceuticals Ltd.</t>
  </si>
  <si>
    <t>Bosch Global Software Technologies Pvt. Ltd.</t>
  </si>
  <si>
    <t>Intellect Design Arena Ltd. (Polaris)</t>
  </si>
  <si>
    <t>Boston Consulting Group (India) Pvt. Ltd.</t>
  </si>
  <si>
    <t>International Fertilizer Development Center (IFDC)</t>
  </si>
  <si>
    <t>BP Exploration (Alpha) Ltd.</t>
  </si>
  <si>
    <t>International Society for Krishna Consciousness (ISKON)</t>
  </si>
  <si>
    <t>Brahma Kumaris Educational Society</t>
  </si>
  <si>
    <t>Intuit India Software Solutions Pvt. Ltd.</t>
  </si>
  <si>
    <t>Broadcom India Pvt. Ltd.</t>
  </si>
  <si>
    <t>Iron Triangle Ltd.</t>
  </si>
  <si>
    <t>Broadcom India Research Pvt. Ltd.</t>
  </si>
  <si>
    <t>ISKON Food Relief Foundation (Annamrita)</t>
  </si>
  <si>
    <t>Broadcom India Technologies Pvt. Ltd.</t>
  </si>
  <si>
    <t>IVRCL Ltd.</t>
  </si>
  <si>
    <t>Broadcom Semiconductors India Pvt. Ltd.</t>
  </si>
  <si>
    <t>Jaiprakash Associates Ltd.</t>
  </si>
  <si>
    <t>Bureau Veritas (India) Pvt. Ltd.</t>
  </si>
  <si>
    <t>Jaiprakash Power Ventures Ltd.</t>
  </si>
  <si>
    <t>Chennai Container Terminal Pvt. Ltd.</t>
  </si>
  <si>
    <t>Capgemini Business Services India Ltd.</t>
  </si>
  <si>
    <t>Jaipuria Beverages &amp; Food Industries Pvt. Ltd.</t>
  </si>
  <si>
    <t>Capgemini Technology Services India Ltd.</t>
  </si>
  <si>
    <t>Jaypee Cement Corporation Ltd.</t>
  </si>
  <si>
    <t>Castrol India Ltd.</t>
  </si>
  <si>
    <t>Jaypee Infratech Ltd.</t>
  </si>
  <si>
    <t>Check Point Software Technologies India Pvt. Ltd.</t>
  </si>
  <si>
    <t>Jindal Aluminium Ltd.</t>
  </si>
  <si>
    <t>Cigniti Technologies Ltd.</t>
  </si>
  <si>
    <t>Cisco Systems (India) Pvt. Ltd.</t>
  </si>
  <si>
    <t>Jindal Poly Films Ltd.</t>
  </si>
  <si>
    <t>Coca Cola India Inc.</t>
  </si>
  <si>
    <t>Jindal Power Ltd.</t>
  </si>
  <si>
    <t>Cognizant Technology Solutions India Pvt. Ltd.</t>
  </si>
  <si>
    <t>Jindal Saw Ltd.</t>
  </si>
  <si>
    <t>Daimler India Commercial Vehicles Pvt. Ltd.</t>
  </si>
  <si>
    <t>JITF Urban Waste Management</t>
  </si>
  <si>
    <t>Delhi Metro Rail Corporation</t>
  </si>
  <si>
    <t>Dell International Services India Pvt. Ltd.</t>
  </si>
  <si>
    <t>John Deere India Pvt. Ltd.</t>
  </si>
  <si>
    <t>Deloitte Consulting India Pvt. Ltd.</t>
  </si>
  <si>
    <t>Johnson Controls Automotive Ltd.</t>
  </si>
  <si>
    <t>Deloitte Financial Advisory Services India Pvt. Ltd.</t>
  </si>
  <si>
    <t>JSR Infra Developers Pvt. Ltd.</t>
  </si>
  <si>
    <t>Deloitte Support Services India Pvt. Ltd.</t>
  </si>
  <si>
    <t>JSW Bhushan Power &amp; Steel Ltd.</t>
  </si>
  <si>
    <t>Deutsche Bank AG</t>
  </si>
  <si>
    <t>Deutsche India Pvt. Ltd.</t>
  </si>
  <si>
    <t>Jubilant Pharmova Ltd.</t>
  </si>
  <si>
    <t>Deutsche Investments India Pvt. Ltd.</t>
  </si>
  <si>
    <t>Just Dial Ltd.</t>
  </si>
  <si>
    <t>Deutsche Investor Services Pvt. Ltd.</t>
  </si>
  <si>
    <t>Kaefer Punj Lloyd Ltd.</t>
  </si>
  <si>
    <t>Kajaria Ceramics Ltd.</t>
  </si>
  <si>
    <t>Ericsson India Pvt. Ltd.</t>
  </si>
  <si>
    <t>Kalyan Silks Trichur Pvt. Ltd.</t>
  </si>
  <si>
    <t>Ernst &amp; Young India Pvt. Ltd.</t>
  </si>
  <si>
    <t>Kalyani Steels Ltd.</t>
  </si>
  <si>
    <t>Ernst &amp; Young LLP</t>
  </si>
  <si>
    <t>Kanakia Spaces Pvt. Ltd.</t>
  </si>
  <si>
    <t>Ernst &amp; Young Services Pvt. Ltd.</t>
  </si>
  <si>
    <t>Kangaroo Industries Ltd.</t>
  </si>
  <si>
    <t>Credit Agricole Corporate and Investment Bank</t>
  </si>
  <si>
    <t>Eureka Forbes Ltd.</t>
  </si>
  <si>
    <t>Kannur International Airport Ltd. (KIAL)</t>
  </si>
  <si>
    <t>EY Global Delivery Services India LLP</t>
  </si>
  <si>
    <t>Kansai Nerolac Paints Ltd.</t>
  </si>
  <si>
    <t>Crompton Greaves Consumer Electricals Ltd.</t>
  </si>
  <si>
    <t>F5 Networks India Pvt. Ltd.</t>
  </si>
  <si>
    <t>Karachi Bakery Pvt. Ltd.</t>
  </si>
  <si>
    <t xml:space="preserve">Crop Life Science Ltd. </t>
  </si>
  <si>
    <t>Facebook India Online Services Pvt. Ltd.</t>
  </si>
  <si>
    <t>Karam Chand Thapar &amp; Bros Ltd.</t>
  </si>
  <si>
    <t>Cryo Banks</t>
  </si>
  <si>
    <t>Firstsource Solutions Ltd.</t>
  </si>
  <si>
    <t>Karuna Logistics Pvt. Ltd.</t>
  </si>
  <si>
    <t>Forvia Hella India</t>
  </si>
  <si>
    <t>KDDI India Pvt. Ltd.</t>
  </si>
  <si>
    <t>CSB Bank Ltd.</t>
  </si>
  <si>
    <t>Foxconn Technology (India) Pvt. Ltd.</t>
  </si>
  <si>
    <t>Keystone Realtors Ltd. (Rustomjee)</t>
  </si>
  <si>
    <t>Future Retail Ltd. (Big Bazaar, Easyday)</t>
  </si>
  <si>
    <t>Kimberly-Clark India Pvt. Ltd.</t>
  </si>
  <si>
    <t>GE Power India Ltd.</t>
  </si>
  <si>
    <t>KITTY Industries Pvt. Ltd.</t>
  </si>
  <si>
    <t>Customised Technologies Pvt. Ltd.</t>
  </si>
  <si>
    <t>Korlay India Tooling Pvt. Ltd.</t>
  </si>
  <si>
    <t>GE Vernova T&amp;D India Ltd.</t>
  </si>
  <si>
    <t>Kotak Securities Ltd.</t>
  </si>
  <si>
    <t>Genpact India Pvt. Ltd.</t>
  </si>
  <si>
    <t>Girnar Software Pvt. Ltd.</t>
  </si>
  <si>
    <t>Kroger Technology Pvt. Ltd.</t>
  </si>
  <si>
    <t>Godrej &amp; Boyce Manufacturing Company Ltd.</t>
  </si>
  <si>
    <t>Lakshadweep Electricity Development Authority</t>
  </si>
  <si>
    <t>Godrej Agrovet Ltd.</t>
  </si>
  <si>
    <t>Lanco Infratech Ltd.</t>
  </si>
  <si>
    <t>Godrej Household Products Ltd.</t>
  </si>
  <si>
    <t>Lanxess India Pvt. Ltd.</t>
  </si>
  <si>
    <t>Godrej Industries Ltd.</t>
  </si>
  <si>
    <t>Lenskart Solutions Ltd.</t>
  </si>
  <si>
    <t>DBS Bank India Ltd.</t>
  </si>
  <si>
    <t>Goldman Sachs (India) Alternative Investment Management Pvt. Ltd.</t>
  </si>
  <si>
    <t>Linde Engineering India Pvt. Ltd.</t>
  </si>
  <si>
    <t>Goldman Sachs (India) Capital Markets Ltd.</t>
  </si>
  <si>
    <t>Lithium Urban Technologies Pvt. Ltd.</t>
  </si>
  <si>
    <t>Goldman Sachs (India) Finance Pvt. Ltd.</t>
  </si>
  <si>
    <t>LithPwr Mobility Pvt. Ltd.</t>
  </si>
  <si>
    <t>DCW Ltd.</t>
  </si>
  <si>
    <t>Google India Pvt. Ltd.</t>
  </si>
  <si>
    <t>Logisure Service Pvt. Ltd.</t>
  </si>
  <si>
    <t>DD Industries Ltd.</t>
  </si>
  <si>
    <t>Gujarat Cooperative Milk Marketing Federation (AMUL)</t>
  </si>
  <si>
    <t>Louis Vuitton India Retail Pvt. Ltd.</t>
  </si>
  <si>
    <t>Hella India Automotive Pvt. Ltd.</t>
  </si>
  <si>
    <t>Lowe's Services India Pvt. Ltd.</t>
  </si>
  <si>
    <t>Hella India Lighting Ltd.</t>
  </si>
  <si>
    <t>Lumax Industries Ltd.</t>
  </si>
  <si>
    <t>Deepak Fertilizers &amp; Petrochemicals Corporation Ltd.</t>
  </si>
  <si>
    <t>Hero Cycles Ltd.</t>
  </si>
  <si>
    <t>Madhucon Projects Ltd.</t>
  </si>
  <si>
    <t>Mahashian Di Hatti Pvt. Ltd. (MDH)</t>
  </si>
  <si>
    <t>Hexaware Technologies Ltd.</t>
  </si>
  <si>
    <t>Maini Precision Products Ltd.</t>
  </si>
  <si>
    <t>Hinduja Group Ltd.</t>
  </si>
  <si>
    <t>Malhar Logistics Pvt. Ltd.</t>
  </si>
  <si>
    <t>Hindustan Coca-Cola Beverages Pvt. Ltd.</t>
  </si>
  <si>
    <t>Manpasand Beverages Ltd.</t>
  </si>
  <si>
    <t>Hiranandani Developers Pvt. Ltd.</t>
  </si>
  <si>
    <t>Max Vigil Security Expert Pvt. Ltd.</t>
  </si>
  <si>
    <t>Megha Engineering &amp; Infrastructures Ltd.</t>
  </si>
  <si>
    <t>HP India Sales Pvt. Ltd.</t>
  </si>
  <si>
    <t>Metal Crafts Constructors Pvt. Ltd.</t>
  </si>
  <si>
    <t>IBM Global Financing India Pvt. Ltd.</t>
  </si>
  <si>
    <t>Metropolis Healthcare Ltd.</t>
  </si>
  <si>
    <t>IBM Global Services India Pvt. Ltd.</t>
  </si>
  <si>
    <t>IBM India Pvt. Ltd.</t>
  </si>
  <si>
    <t>MIRC Electronics Ltd. (ONIDA)</t>
  </si>
  <si>
    <t>ICICI Prudential Asset Management Company Ltd.</t>
  </si>
  <si>
    <t>Mitsubishi Electric India Pvt. Ltd.</t>
  </si>
  <si>
    <t>Intel Sales India Pvt. Ltd.</t>
  </si>
  <si>
    <t>Monginis Foods Pvt. Ltd.</t>
  </si>
  <si>
    <t>Intel Solutions &amp; Services India Pvt. Ltd.</t>
  </si>
  <si>
    <t>Mono Steel (India) Ltd.</t>
  </si>
  <si>
    <t>Intel Technology India Pvt. Ltd.</t>
  </si>
  <si>
    <t>Morepen Laboratories Ltd.</t>
  </si>
  <si>
    <t>J.P. Morgan India Pvt. Ltd.</t>
  </si>
  <si>
    <t>Moser Baer India Ltd.</t>
  </si>
  <si>
    <t>J.P. Morgan Securities India Pvt. Ltd.</t>
  </si>
  <si>
    <t>Motorola Mobility India Pvt. Ltd.</t>
  </si>
  <si>
    <t>J.P. Morgan Services India Pvt. Ltd.</t>
  </si>
  <si>
    <t>MS Khurana Engineering Ltd.</t>
  </si>
  <si>
    <t>Dimexon Diamonds Ltd.</t>
  </si>
  <si>
    <t>JCB India Ltd.</t>
  </si>
  <si>
    <t>M-Source (India) Pvt. Ltd.</t>
  </si>
  <si>
    <t>Johnson &amp; Johnson Pvt. Ltd.</t>
  </si>
  <si>
    <t>Mumbai International Airport Ltd. (MIAL)</t>
  </si>
  <si>
    <t>JPMorgan Asset Management India Pvt. Ltd.</t>
  </si>
  <si>
    <t>Munich Re India</t>
  </si>
  <si>
    <t>J.P. Morgan Chase Bank N.A.</t>
  </si>
  <si>
    <t>Nagarjuna Corporation Ltd.</t>
  </si>
  <si>
    <t>Juniper Networks India Pvt. Ltd.</t>
  </si>
  <si>
    <t>Nahar Industrial Enterprises Ltd.</t>
  </si>
  <si>
    <t>K. Raheja Corp. Pvt. Ltd.</t>
  </si>
  <si>
    <t>Namdhari Seeds Pvt. Ltd.</t>
  </si>
  <si>
    <t xml:space="preserve">Kotak Mahindra Investments Ltd. </t>
  </si>
  <si>
    <t>Nanda Group Industries Pvt. Ltd.</t>
  </si>
  <si>
    <t>Navayuga Engineering Company Ltd.</t>
  </si>
  <si>
    <t>Lenovo (India) Pvt. Ltd.</t>
  </si>
  <si>
    <t>Navbharat Vanijya Ltd.</t>
  </si>
  <si>
    <t>Linkedin Technology Information Pvt. Ltd.</t>
  </si>
  <si>
    <t>Nayara Energy Ltd.</t>
  </si>
  <si>
    <t>L'Oreal India Pvt. Ltd.</t>
  </si>
  <si>
    <t>NCC Ltd.</t>
  </si>
  <si>
    <t>Lulu India Shopping Mall Pvt. Ltd.</t>
  </si>
  <si>
    <t>NDT Systems Pvt. Ltd.</t>
  </si>
  <si>
    <t>Mckinsey &amp; Company India LLP</t>
  </si>
  <si>
    <t>New Generation Media Corporation Pvt. Ltd.</t>
  </si>
  <si>
    <t>Microsoft Corporation India Pvt. Ltd.</t>
  </si>
  <si>
    <t>NFCL Industries Ltd.</t>
  </si>
  <si>
    <t>E I Dupont India Pvt. Ltd.</t>
  </si>
  <si>
    <t>Microsoft Global Services Centre (India) Pvt. Ltd.</t>
  </si>
  <si>
    <t>Nike India Pvt. Ltd.</t>
  </si>
  <si>
    <t>Microsoft India (R&amp;D) Pvt. Ltd.</t>
  </si>
  <si>
    <t>Nikkou Corporation Ltd.</t>
  </si>
  <si>
    <t>Microsoft Research Lab India Pvt Ltd</t>
  </si>
  <si>
    <t>Northrop Grumman International Inc.</t>
  </si>
  <si>
    <t>Mondelez India Foods Pvt. Ltd. (Cadbury)</t>
  </si>
  <si>
    <t>NTEX Transportation Services Pvt. Ltd. (ElasticRun)</t>
  </si>
  <si>
    <t>Morgan Stanley India Company Pvt. Ltd.</t>
  </si>
  <si>
    <t>NTL India Pvt. Ltd.</t>
  </si>
  <si>
    <t>Morgan Stanley India Financial Services Pvt. Ltd.</t>
  </si>
  <si>
    <t>NTT Global Data Centers &amp; Cloud Infrastructure India Pvt. Ltd.</t>
  </si>
  <si>
    <t>Morgan Stanley India Securities Pvt. Ltd.</t>
  </si>
  <si>
    <t>Nuvoco Vistas Corporation Ltd.</t>
  </si>
  <si>
    <t>Morgan Stanley India Services Pvt. Ltd.</t>
  </si>
  <si>
    <t>OPG Power Generation Pvt. Ltd.</t>
  </si>
  <si>
    <t>Morgan Stanley Private Equity India Inc.</t>
  </si>
  <si>
    <t>Orange Business Services India Network Pvt. Ltd.</t>
  </si>
  <si>
    <t>Netflix Entertainment Services India LLP</t>
  </si>
  <si>
    <t>Nokia India Pvt. Ltd.</t>
  </si>
  <si>
    <t>Orient Ceratech Ltd.</t>
  </si>
  <si>
    <t>Nokia Solutions and Networks India Pvt. Ltd.</t>
  </si>
  <si>
    <t>Oriental Structural Engineers Pvt. Ltd.</t>
  </si>
  <si>
    <t>Oberoi Hotels &amp; Resorts (EIH Ltd.)</t>
  </si>
  <si>
    <t>Orkla India Ltd. (MTR)</t>
  </si>
  <si>
    <t>Ekutir Rural Management Services Pvt. Ltd.</t>
  </si>
  <si>
    <t>Omron Healthcare India Pvt. Ltd.</t>
  </si>
  <si>
    <t>Otis Elevator Company India Ltd.</t>
  </si>
  <si>
    <t>Optum Global Solutions (India) Pvt. Ltd. (UnitedHeath Group)</t>
  </si>
  <si>
    <t>Paradeep Phosphates Ltd.</t>
  </si>
  <si>
    <t>Oracle India Pvt. Ltd.</t>
  </si>
  <si>
    <t>Parag Milk Foods Ltd.</t>
  </si>
  <si>
    <t>Palo Alto Networks (India) Pvt. Ltd.</t>
  </si>
  <si>
    <t>Parry Agro Industries Ltd.</t>
  </si>
  <si>
    <t>Emaar India Ltd.</t>
  </si>
  <si>
    <t>Panasonic India Pvt. Ltd.</t>
  </si>
  <si>
    <t>Patel Engineering Ltd.</t>
  </si>
  <si>
    <t>Panasonic Life Solutions India Pvt. Ltd.</t>
  </si>
  <si>
    <t>Patel Infrastructure Ltd.</t>
  </si>
  <si>
    <t>Parle Agro Pvt. Ltd.</t>
  </si>
  <si>
    <t>Peerless General Finance &amp; Investment Co Ltd.</t>
  </si>
  <si>
    <t>Pepsi Foods Pvt. Ltd.</t>
  </si>
  <si>
    <t>Pepperfry Ltd.</t>
  </si>
  <si>
    <t>PepsiCo India Holdings Pvt. Ltd.</t>
  </si>
  <si>
    <t>Pernod Ricard India Pvt. Ltd.</t>
  </si>
  <si>
    <t>Prajapita Brahma Kumaris Ishwariya Vishwa Vidyalaya</t>
  </si>
  <si>
    <t>PGP Glass Pvt. Ltd.</t>
  </si>
  <si>
    <t>PricewaterhouseCoopers Pvt. Ltd.</t>
  </si>
  <si>
    <t>Phasorz Technologies Pvt. Ltd. (MediBuddy)</t>
  </si>
  <si>
    <t>PricewaterhouseCoopers Services LLP</t>
  </si>
  <si>
    <t>Piaggio Vehicles Pvt. Ltd.</t>
  </si>
  <si>
    <t>Rajyoga Education and Research Foundation</t>
  </si>
  <si>
    <t>Pista House Foods Pvt. Ltd.</t>
  </si>
  <si>
    <t>Raymond Realty Ltd.</t>
  </si>
  <si>
    <t>Equitas Small Finance Bank Ltd.</t>
  </si>
  <si>
    <t>RPG Enterprises Ltd.</t>
  </si>
  <si>
    <t>Precision Shell Cast Pvt. Ltd.</t>
  </si>
  <si>
    <t>Salesforce.com India Pvt. Ltd.</t>
  </si>
  <si>
    <t>Prism Johnson Ltd.</t>
  </si>
  <si>
    <t>Samsung India Electronics Pvt. Ltd.</t>
  </si>
  <si>
    <t>Procter &amp; Gamble Hygiene &amp; Health Care Ltd.</t>
  </si>
  <si>
    <t>SAP Labs India Pvt. Ltd.</t>
  </si>
  <si>
    <t>Publicis Sapient</t>
  </si>
  <si>
    <t>Shapoorji Pallonji &amp; Company Pvt. Ltd.</t>
  </si>
  <si>
    <t>Shell India Markets Pvt. Ltd.</t>
  </si>
  <si>
    <t>Quickr India Pvt. Ltd.</t>
  </si>
  <si>
    <t>R Systems International Limited</t>
  </si>
  <si>
    <t>Societe Generale Global Solution Centre Pvt. Ltd.</t>
  </si>
  <si>
    <t>Rajpoot Dairy Pvt. Ltd.</t>
  </si>
  <si>
    <t>Societe Generale Securities India Pvt. Ltd.</t>
  </si>
  <si>
    <t>Rallis India Ltd.</t>
  </si>
  <si>
    <t>Society of Indian Automobile Manufacturers (SIAM)</t>
  </si>
  <si>
    <t>Ramco Industries Ltd.</t>
  </si>
  <si>
    <t>Sony India Pvt. Ltd.</t>
  </si>
  <si>
    <t>Ramky Infrastructure Ltd.</t>
  </si>
  <si>
    <t>FCC Clutch India Pvt. Ltd.</t>
  </si>
  <si>
    <t>SpiceJet Ltd.</t>
  </si>
  <si>
    <t>Ratnamani Metals &amp; Tubes Ltd.</t>
  </si>
  <si>
    <t>Re Sustainability Ltd.</t>
  </si>
  <si>
    <t>Susi Emu Farms (india) Pvt. Ltd.</t>
  </si>
  <si>
    <t>Reckitt Benckiser (India) Pvt. Ltd.</t>
  </si>
  <si>
    <t>Swiss Re Global Business Solutions India Pvt. Ltd.</t>
  </si>
  <si>
    <t>Swiss Reinsurance Company Ltd.</t>
  </si>
  <si>
    <t>Synopsys India Pvt. Ltd.</t>
  </si>
  <si>
    <t>Teleperformance India Pvt. Ltd.</t>
  </si>
  <si>
    <t>Reliance Logistics and Warehouse Holdings Ltd.</t>
  </si>
  <si>
    <t>Twitter Communications India Pvt. Ltd.</t>
  </si>
  <si>
    <t>Reliance MediaWorks Ltd.</t>
  </si>
  <si>
    <t>Vestas Wind Technology India Pvt. Ltd.</t>
  </si>
  <si>
    <t>Religare Enterprises Ltd.</t>
  </si>
  <si>
    <t>Wal-mart India Pvt. Ltd.</t>
  </si>
  <si>
    <t>Renault Nissan Automotive India Pvt. Ltd.</t>
  </si>
  <si>
    <t>Wells Fargo International Solutions Pvt. Ltd.</t>
  </si>
  <si>
    <t>Repute Infotech and Enterprises Ltd.</t>
  </si>
  <si>
    <t>Welspun Group</t>
  </si>
  <si>
    <t>Rico Auto Industries Ltd.</t>
  </si>
  <si>
    <t>Wipro Consumer and Personal Care Pvt. Ltd.</t>
  </si>
  <si>
    <t>RMK Group</t>
  </si>
  <si>
    <t>Wipro Consumer Care and Lighting Ltd.</t>
  </si>
  <si>
    <t>RR Kabel Ltd.</t>
  </si>
  <si>
    <t>Wipro GE Healthcare Pvt. Ltd.</t>
  </si>
  <si>
    <t>RSPL Ltd.</t>
  </si>
  <si>
    <t>WNS Global Services Pvt. Ltd.</t>
  </si>
  <si>
    <t>Ruchi Infrastructure Ltd.</t>
  </si>
  <si>
    <t>World Renewal Spiritual Trust</t>
  </si>
  <si>
    <t>Rungta Greentech Ltd.</t>
  </si>
  <si>
    <t>Zoho Corporation Pvt. Ltd.</t>
  </si>
  <si>
    <t>Rungta Mines Ltd.</t>
  </si>
  <si>
    <t>Asian Development Bank</t>
  </si>
  <si>
    <t>Runwal Enterprises Ltd.</t>
  </si>
  <si>
    <t>Embassy + Consulates</t>
  </si>
  <si>
    <t>S &amp; IB Services Pvt. Ltd.</t>
  </si>
  <si>
    <t>International Monetary Fund</t>
  </si>
  <si>
    <t>Safexpress Pvt. Ltd.</t>
  </si>
  <si>
    <t>International Solar Alliance</t>
  </si>
  <si>
    <t>Sahara India City Holdings Pvt. Ltd.</t>
  </si>
  <si>
    <t>UN Organizations</t>
  </si>
  <si>
    <t>Sanofi India Ltd.</t>
  </si>
  <si>
    <t>World Bank</t>
  </si>
  <si>
    <t>Saravana Bhavan Pvt. Ltd.</t>
  </si>
  <si>
    <t>World Health Organization</t>
  </si>
  <si>
    <t>Schaeffler India Ltd.</t>
  </si>
  <si>
    <t>World Trade Organization</t>
  </si>
  <si>
    <t>Scientific Security Management Services Pvt. Ltd.</t>
  </si>
  <si>
    <t>Acko General Insurance Ltd.</t>
  </si>
  <si>
    <t>Acko Life Insurance Ltd.</t>
  </si>
  <si>
    <t>SEL Manufacturing Company Ltd.</t>
  </si>
  <si>
    <t>Aditya Birla Health Insurance Co. Ltd.</t>
  </si>
  <si>
    <t>Sentinels Securities Pvt. Ltd.</t>
  </si>
  <si>
    <t>Aditya Birla SunLife Insurance Company Ltd.</t>
  </si>
  <si>
    <t>Serajuddin and Co. Pvt. Ltd.</t>
  </si>
  <si>
    <t>Ageas Federal Life Insurance Company Ltd.</t>
  </si>
  <si>
    <t>Serco India Pvt. Ltd.</t>
  </si>
  <si>
    <t>Agriculture Insurance Company of India Ltd.</t>
  </si>
  <si>
    <t>Sew Infrastructure Ltd.</t>
  </si>
  <si>
    <t>Aviva Life Insurance Company India Ltd.</t>
  </si>
  <si>
    <t>SGS India Pvt. Ltd.</t>
  </si>
  <si>
    <t>Axis Max Life Insurance Ltd.</t>
  </si>
  <si>
    <t>Shasun Pharmaceuticals Ltd.</t>
  </si>
  <si>
    <t>Bajaj General Insurance Ltd.</t>
  </si>
  <si>
    <t>Shree Renuka Sugars Ltd.</t>
  </si>
  <si>
    <t>Bajaj Life Insurance Co. Ltd.</t>
  </si>
  <si>
    <t>Shreeji Shipping Global Ltd.</t>
  </si>
  <si>
    <t>Bandhan Life Insurance Ltd.</t>
  </si>
  <si>
    <t>Shri Mahila Griha Udyog Lijjat Papad</t>
  </si>
  <si>
    <t>Bharti AXA Life Insurance Company Ltd.</t>
  </si>
  <si>
    <t>Shri Vijay Pipe Corporation</t>
  </si>
  <si>
    <t>Birla Sun Life Insurance Company Ltd.</t>
  </si>
  <si>
    <t>Shri Vile Parle Kelavani Mandal's Narsee Monjee Institute of Management Studies (NMIMMS)</t>
  </si>
  <si>
    <t>Gautam Freight Pvt. Ltd.</t>
  </si>
  <si>
    <t>Canara HSBC Life Insurance Company Ltd.</t>
  </si>
  <si>
    <t>Shrine Engineering Pvt. Ltd.</t>
  </si>
  <si>
    <t>Care Health Insurance Ltd.</t>
  </si>
  <si>
    <t>Shriram Overseas Investments Pvt. Ltd.</t>
  </si>
  <si>
    <t>Cholamandalam MS General Insurance Company Ltd.</t>
  </si>
  <si>
    <t>Shriram Pistons &amp; Rings Ltd.</t>
  </si>
  <si>
    <t xml:space="preserve">CreditAccess Life Insurance Ltd.	</t>
  </si>
  <si>
    <t>Shyama Power India Ltd.</t>
  </si>
  <si>
    <t>Digit General Insurance Ltd.</t>
  </si>
  <si>
    <t>Siemens Gamesa Renewable Power Pvt. Ltd.</t>
  </si>
  <si>
    <t>ECGC Ltd.</t>
  </si>
  <si>
    <t>Sify Technologies Ltd.</t>
  </si>
  <si>
    <t>Edelweiss Life Insurance Company Ltd.</t>
  </si>
  <si>
    <t>Simplex Infrastructures Ltd.</t>
  </si>
  <si>
    <t>Galaxy Health Insurance Company Ltd.</t>
  </si>
  <si>
    <t>SIS Prosegur Holdings Pvt. Ltd.</t>
  </si>
  <si>
    <t>General Insurance Corporation of India</t>
  </si>
  <si>
    <t>Skygourmet Catering Pvt. Ltd.</t>
  </si>
  <si>
    <t xml:space="preserve">Getit Infoservices Pvt. Ltd. </t>
  </si>
  <si>
    <t>Generali Central Insurance Company Ltd.</t>
  </si>
  <si>
    <t>Smartplay Technologies India Pvt. Ltd.</t>
  </si>
  <si>
    <t>Generali Central Life Insurance Company Ltd.</t>
  </si>
  <si>
    <t>Go Digit Life Insurance Ltd.</t>
  </si>
  <si>
    <t>SMS-AAMW Tollways Pvt. Ltd.</t>
  </si>
  <si>
    <t>HDFC ERGO General Insurance Company Ltd.</t>
  </si>
  <si>
    <t>Snapdeal Ltd.</t>
  </si>
  <si>
    <t>HDFC Life Insurance Company Ltd.</t>
  </si>
  <si>
    <t>Soma Enterprise Ltd.</t>
  </si>
  <si>
    <t>ICICI Lombard General Insurance Company Ltd.</t>
  </si>
  <si>
    <t>Soma Infrastructure Pvt. Ltd.</t>
  </si>
  <si>
    <t>ICICI Prudential Life Insurance Company Ltd.</t>
  </si>
  <si>
    <t>South Asian Foods Corporation (Goli Soda)</t>
  </si>
  <si>
    <t>IFFCO TOKIO General Insurance Company Ltd.</t>
  </si>
  <si>
    <t>Spoton Logistics Pvt. Ltd.</t>
  </si>
  <si>
    <t>IndiaFirst Life Insurance Company Ltd.</t>
  </si>
  <si>
    <t>Sri Utility Vehicles Pvt. Ltd.</t>
  </si>
  <si>
    <t>Kotak Mahindra Life Insurance Company Ltd.</t>
  </si>
  <si>
    <t>Srikalahasthi Pipes Ltd.</t>
  </si>
  <si>
    <t>Kshema General Insurance Ltd.</t>
  </si>
  <si>
    <t>SRM (India) Ltd.</t>
  </si>
  <si>
    <t>Liberty General Insurance Ltd.</t>
  </si>
  <si>
    <t>Standard Chartered Bank</t>
  </si>
  <si>
    <t>Life Insurance Corporation of India</t>
  </si>
  <si>
    <t>State Street Global Advisors India Pvt. Ltd.</t>
  </si>
  <si>
    <t>Lockton Insurance Brokers (India) Pvt. Ltd.</t>
  </si>
  <si>
    <t>Sterling Agro Industries Ltd. (Nova Dairy)</t>
  </si>
  <si>
    <t>Godavari Polymers Pvt. Ltd.</t>
  </si>
  <si>
    <t>Magma General Insurance Ltd.</t>
  </si>
  <si>
    <t>Stryker India Pvt. Ltd.</t>
  </si>
  <si>
    <t>Manipal Cigna Health Insurance Company Ltd.</t>
  </si>
  <si>
    <t>Subros Ltd.</t>
  </si>
  <si>
    <t>Max Financial Services Ltd.</t>
  </si>
  <si>
    <t>Sumitomo Mitsui Banking Corporation (SMBC)</t>
  </si>
  <si>
    <t>Narayana Health Insurance Ltd.</t>
  </si>
  <si>
    <t>Sundaram Fasteners Ltd.</t>
  </si>
  <si>
    <t>Golden Dew Tea Factory</t>
  </si>
  <si>
    <t>National Insurance Company Ltd.</t>
  </si>
  <si>
    <t>Sundrop Brands Ltd.</t>
  </si>
  <si>
    <t>Navi General Insurance Ltd.</t>
  </si>
  <si>
    <t>Sunteck Realty Ltd.</t>
  </si>
  <si>
    <t>Niva Bupa Health Insurance Co Ltd.</t>
  </si>
  <si>
    <t>Gopaljee Dairy Foods Pvt. Ltd.</t>
  </si>
  <si>
    <t>PNB MetLife India Insurance Company Ltd.</t>
  </si>
  <si>
    <t>Suravi Beverages India Pvt. Ltd.</t>
  </si>
  <si>
    <t>Pramerica Life Insurance Company Ltd.</t>
  </si>
  <si>
    <t>Suresh Oilfield Units &amp; Maintenance Co.</t>
  </si>
  <si>
    <t>Raheja QBE General Insurance Co. Ltd.</t>
  </si>
  <si>
    <t>Sushee Infra &amp; Mining Ltd.</t>
  </si>
  <si>
    <t>Reliance General Insurance Company Ltd.</t>
  </si>
  <si>
    <t>Suzuki Motorcycle India Pvt. Ltd.</t>
  </si>
  <si>
    <t>Graphite India Ltd.</t>
  </si>
  <si>
    <t>Reliance Nippon Life Insurance Company Ltd.</t>
  </si>
  <si>
    <t>Swiss International Air Lines Ltd.</t>
  </si>
  <si>
    <t>Royal Sundaram General Insurance Company Ltd.</t>
  </si>
  <si>
    <t>Syngene International Ltd.</t>
  </si>
  <si>
    <t>Sahara India Life Insurance Company Ltd.</t>
  </si>
  <si>
    <t>Syngenta India Pvt. Ltd.</t>
  </si>
  <si>
    <t>Greenstar Fertilizers Ltd.</t>
  </si>
  <si>
    <t>SBI General Insurance Company Ltd.</t>
  </si>
  <si>
    <t>T V Sundaram Iyengar &amp; Sons Ltd.</t>
  </si>
  <si>
    <t>SBI Life Insurance Company Ltd.</t>
  </si>
  <si>
    <t>Tata AutoComp Systems Ltd.</t>
  </si>
  <si>
    <t>GSP Crop Science Pvt. Ltd.</t>
  </si>
  <si>
    <t>Shriram General Insurance Company Ltd.</t>
  </si>
  <si>
    <t>Tata BlueScope Steel Pvt. Ltd.</t>
  </si>
  <si>
    <t>Shriram Life Insurance Company Ltd.</t>
  </si>
  <si>
    <t>Tata Chemicals Ltd.</t>
  </si>
  <si>
    <t>Star Health &amp; Allied Insurance Co.Ltd.</t>
  </si>
  <si>
    <t>Tata Projects Ltd.</t>
  </si>
  <si>
    <t>Star Union Dai-Ichi Life Insurance Company Ltd.</t>
  </si>
  <si>
    <t>Tata Starbucks Pvt. Ltd.</t>
  </si>
  <si>
    <t>TATA AIA Life Insurance Company Ltd.</t>
  </si>
  <si>
    <t>Tata Steel Downstream Products Ltd.</t>
  </si>
  <si>
    <t>Tata AIG General Insurance Company Ltd.</t>
  </si>
  <si>
    <t>Tata Teleservices (Maharashtra) Ltd.</t>
  </si>
  <si>
    <t>The New India Assurance Company Ltd.</t>
  </si>
  <si>
    <t>TBEA Energy India Pvt. Ltd.</t>
  </si>
  <si>
    <t>The Oriental Insurance Company Ltd.</t>
  </si>
  <si>
    <t>Technip Energies India Ltd.</t>
  </si>
  <si>
    <t>United India Insurance Company Ltd.</t>
  </si>
  <si>
    <t>Thalappakatti Hotels Pvt. Ltd.</t>
  </si>
  <si>
    <t>Universal Sompo General Insurance Company Ltd.</t>
  </si>
  <si>
    <t>The Fertiliser Association of India (FAI)</t>
  </si>
  <si>
    <t>Zuno General Insurance Ltd.</t>
  </si>
  <si>
    <t>Zurich Kotak General Insurance Company (India) Ltd.</t>
  </si>
  <si>
    <t>Amara Raja Energy &amp; Mobility Ltd.</t>
  </si>
  <si>
    <t>The Nashik District Central Co-operative Bank Ltd.</t>
  </si>
  <si>
    <t>Ather Energy Pvt. Ltd.</t>
  </si>
  <si>
    <t>The Ramco Cements Ltd.</t>
  </si>
  <si>
    <t>Belectriq Mobility Pvt. Ltd.</t>
  </si>
  <si>
    <t>The Society of Daughters of Mary Immaculate and Collaborators</t>
  </si>
  <si>
    <t>Billion Electric Mobility Pvt. Ltd.</t>
  </si>
  <si>
    <t>Bycyshare Technologies Pvt. Ltd. (Zypp)</t>
  </si>
  <si>
    <t>Thermax Ltd.</t>
  </si>
  <si>
    <t>EEE-Taxi Mobility Solutions Pvt. Ltd.</t>
  </si>
  <si>
    <t>Think &amp; Learn Pvt. Ltd. (Byjus)</t>
  </si>
  <si>
    <t>ETO Motors Pvt. Ltd.</t>
  </si>
  <si>
    <t>Thomas Cook India Ltd.</t>
  </si>
  <si>
    <t>Euler Motors Pvt. Ltd.</t>
  </si>
  <si>
    <t>Three Wheels United India Services Pvt. Ltd.</t>
  </si>
  <si>
    <t>Greencell Mobility Pvt. Ltd.</t>
  </si>
  <si>
    <t>TIL Ltd.</t>
  </si>
  <si>
    <t>JBM Auto Ltd.</t>
  </si>
  <si>
    <t>Times Busines Solutions Ltd.</t>
  </si>
  <si>
    <t>JBM Electric Vehicles Pvt. Ltd.</t>
  </si>
  <si>
    <t>TK Engineering Consortium Pvt. Ltd.</t>
  </si>
  <si>
    <t>Magenta EV Solutions Pvt. Ltd.</t>
  </si>
  <si>
    <t>Tork Motors Pvt. Ltd.</t>
  </si>
  <si>
    <t>MoEVing Urban Technologies Pvt. Ltd.</t>
  </si>
  <si>
    <t>Trane Technologies India Pvt. Ltd.</t>
  </si>
  <si>
    <t>Mooving Smart Mobility and Energy Pvt. Ltd.</t>
  </si>
  <si>
    <t>Trans Ekko Living Solutions Pvt. Ltd.</t>
  </si>
  <si>
    <t>NineOne EV Pvt. Ltd. (91 EV)</t>
  </si>
  <si>
    <t>Heranba Industries Ltd.</t>
  </si>
  <si>
    <t>Olectra Greentech Ltd.</t>
  </si>
  <si>
    <t>Trident Ltd.</t>
  </si>
  <si>
    <t>Omega Seiki Mobility Pvt. Ltd.</t>
  </si>
  <si>
    <t>Trinity Cleantech Pvt. Ltd.</t>
  </si>
  <si>
    <t>Pinnacle Mobility Solutions Pvt. Ltd.</t>
  </si>
  <si>
    <t>Trocko Logi Pvt. Ltd.</t>
  </si>
  <si>
    <t>PMI Electro Mobility Solutions Pvt. Ltd.</t>
  </si>
  <si>
    <t>TTD Logistics Pvt. Ltd.</t>
  </si>
  <si>
    <t>Reliance BP Mobility Ltd.</t>
  </si>
  <si>
    <t>TVS Holdings Ltd.</t>
  </si>
  <si>
    <t>Servotech Renewable Power System Ltd.</t>
  </si>
  <si>
    <t>TVS Srichakra Ltd.</t>
  </si>
  <si>
    <t>Switch Mobility Automotive Ltd.</t>
  </si>
  <si>
    <t>Tecso Charge Zone Ltd.</t>
  </si>
  <si>
    <t>Unisys India Pvt. Ltd.</t>
  </si>
  <si>
    <t>Upgrid Solutions Pvt. Ltd. (Battery Smart)</t>
  </si>
  <si>
    <t>United Parcel Service Co.</t>
  </si>
  <si>
    <t>VE Commercial Vehicles Ltd.</t>
  </si>
  <si>
    <t>United Shippers and Dredgers Ltd.</t>
  </si>
  <si>
    <t>Zuperia Auto Pvt. Ltd. (Lohia Auto)</t>
  </si>
  <si>
    <t>Universal Cables Ltd.</t>
  </si>
  <si>
    <t>Zyngo EV Mobility Pvt. Ltd.</t>
  </si>
  <si>
    <t>UNO Minda Ltd.</t>
  </si>
  <si>
    <t xml:space="preserve">Allianz Commercial </t>
  </si>
  <si>
    <t>Upper India Steel Manufacturing &amp; Engineering Company Ltd.</t>
  </si>
  <si>
    <t>Allianz Partners</t>
  </si>
  <si>
    <t>Urban Ladder Home Décor Solutions Ltd.</t>
  </si>
  <si>
    <t>Allianz Services India</t>
  </si>
  <si>
    <t>Ushodaya Enterprises Pvt. Ltd.</t>
  </si>
  <si>
    <t>Allianz Technology</t>
  </si>
  <si>
    <t>UST Global Technology Services (India) Pvt. Ltd.</t>
  </si>
  <si>
    <t>Allianz Trade in India</t>
  </si>
  <si>
    <t>Vadilal Industries Ltd.</t>
  </si>
  <si>
    <t>AstraZeneca Pharma India Ltd.</t>
  </si>
  <si>
    <t>Videocon Industries Ltd.</t>
  </si>
  <si>
    <t>Barclays Investments &amp; Loans (India) Pvt. Ltd.</t>
  </si>
  <si>
    <t>Videocon Telecommunications Ltd.</t>
  </si>
  <si>
    <t>Barclays Securities (India) Pvt. Ltd.</t>
  </si>
  <si>
    <t>Vidyuttech Services Pvt. Ltd.</t>
  </si>
  <si>
    <t>Barclays Wealth Trustees (India) Pvt. Ltd.</t>
  </si>
  <si>
    <t>Vijeta Beverages Pvt. Ltd.</t>
  </si>
  <si>
    <t>Bayer CropScience Ltd.</t>
  </si>
  <si>
    <t>Vishwa Infrastructures and Services Pvt. Ltd.</t>
  </si>
  <si>
    <t>BofA Securities India Ltd.</t>
  </si>
  <si>
    <t>Visual Graphics Pvt. Ltd.</t>
  </si>
  <si>
    <t>BT (India) Pvt. Ltd.</t>
  </si>
  <si>
    <t>VRL Logistics Ltd.</t>
  </si>
  <si>
    <t>Capgemini India Pvt. Ltd.</t>
  </si>
  <si>
    <t>VST Industries Ltd.</t>
  </si>
  <si>
    <t>Centrica India Offshore Pvt. Ltd.</t>
  </si>
  <si>
    <t>W.S. Atkins (India) Pvt. Ltd.</t>
  </si>
  <si>
    <t>Chalet Hotels Ltd. (Marriott, Westin, Athiva)</t>
  </si>
  <si>
    <t>Wadhagroup Holdings Pvt. Ltd.</t>
  </si>
  <si>
    <t>West Bengal State Electricity Distribution Company Ltd. (WBSEDCL)</t>
  </si>
  <si>
    <t>Costain Construction LLP</t>
  </si>
  <si>
    <t>WeWork India Management Ltd.</t>
  </si>
  <si>
    <t>Dalmia Cement (Bharat) Ltd.</t>
  </si>
  <si>
    <t>Danfoss Industries Pvt. Ltd.</t>
  </si>
  <si>
    <t>Winshuttle Software (India) Pvt. Ltd.</t>
  </si>
  <si>
    <t>Danfoss Power Solutions India Pvt. Ltd.</t>
  </si>
  <si>
    <t>Wockhardt Ltd.</t>
  </si>
  <si>
    <t>Deloitte Touche Tohmatsu India LLP</t>
  </si>
  <si>
    <t>WPP Marketing Communications India Pvt. Ltd.</t>
  </si>
  <si>
    <t>Delta Electronics India Pvt. Ltd.</t>
  </si>
  <si>
    <t>Writer Safegaurd Pvt. Ltd.</t>
  </si>
  <si>
    <t>ELCA Cosmetics Pvt. Ltd. (Estee Lauder)</t>
  </si>
  <si>
    <t>Yahoo Software Development India Pvt. Ltd.</t>
  </si>
  <si>
    <t>Flipkart Internet Pvt. Ltd.</t>
  </si>
  <si>
    <t>Yatra Online Ltd.</t>
  </si>
  <si>
    <t>GEA Westfalia Separator India Pvt. Ltd.</t>
  </si>
  <si>
    <t>Yum Restaurants (India) Pvt. Ltd.</t>
  </si>
  <si>
    <t>GlaxoSmithKline Pharmaceuticals Ltd.</t>
  </si>
  <si>
    <t>Zensar Technologies Ltd.</t>
  </si>
  <si>
    <t>Goldman Sachs (India) Securities Pvt. Ltd.</t>
  </si>
  <si>
    <t>Ziqitza Health Care Ltd.</t>
  </si>
  <si>
    <t>Grundfos Pumps India Pvt. Ltd.</t>
  </si>
  <si>
    <t>Federation of Automobile Dealers Associations (FADA)</t>
  </si>
  <si>
    <t>Hewlett-Packard Enterprise India Pvt. Ltd.</t>
  </si>
  <si>
    <t>Amara Raja Distributor</t>
  </si>
  <si>
    <t>Hewlett-Packard India Pvt. Ltd.</t>
  </si>
  <si>
    <t>Balaji Distributor</t>
  </si>
  <si>
    <t>IKEA India Pvt. Ltd.</t>
  </si>
  <si>
    <t>BPCL Distributor</t>
  </si>
  <si>
    <t>LG Electronics India Ltd.</t>
  </si>
  <si>
    <t>Coca Cola Distributor</t>
  </si>
  <si>
    <t>India Yamaha Motor Pvt. Ltd.</t>
  </si>
  <si>
    <t>LG Energy Solution India Pvt. Ltd.</t>
  </si>
  <si>
    <t>Exide Distributor</t>
  </si>
  <si>
    <t>Lloyds Metals and Energy</t>
  </si>
  <si>
    <t>Godrej Distributor</t>
  </si>
  <si>
    <t xml:space="preserve">Lloyds Technology Centre </t>
  </si>
  <si>
    <t>HPCL Distributor</t>
  </si>
  <si>
    <t>Maersk India Pvt. Ltd.</t>
  </si>
  <si>
    <t>IOCL Distributor</t>
  </si>
  <si>
    <t>Mindspace Business Park REIT</t>
  </si>
  <si>
    <t>Milk &amp; Water Bottle Distributors</t>
  </si>
  <si>
    <t>Natwest Digital Services India Pvt Ltd.</t>
  </si>
  <si>
    <t>Parle Agro Distributor</t>
  </si>
  <si>
    <t>Pepsi Distributor</t>
  </si>
  <si>
    <t>Indofil Industries Ltd.</t>
  </si>
  <si>
    <t>Novartis Healthcare Pvt. Ltd.</t>
  </si>
  <si>
    <t>C5 - Tours &amp; Travels (T&amp;T)</t>
  </si>
  <si>
    <t>Budget Car Rentals Pvt. Ltd.</t>
  </si>
  <si>
    <t>Novo Nordisk India Pvt. Ltd.</t>
  </si>
  <si>
    <t>CarzonRent (India) Pvt. Ltd.</t>
  </si>
  <si>
    <t>Novo Nordisk Service Centre India Pvt. Ltd.</t>
  </si>
  <si>
    <t>Drivezy India Travels Pvt. Ltd.</t>
  </si>
  <si>
    <t>Schneider Electric India Pvt. Ltd.</t>
  </si>
  <si>
    <t>Satguru Travel &amp; Tourism Pvt. Ltd. (Europcar)</t>
  </si>
  <si>
    <t>Signify Innovations India Ltd. (Philips)</t>
  </si>
  <si>
    <t>SOTC Travel Ltd.</t>
  </si>
  <si>
    <t>Statkraft India Pvt. Ltd.</t>
  </si>
  <si>
    <t>Voler Car Ltd.</t>
  </si>
  <si>
    <t>Tesco Bengaluru Pvt. Ltd.</t>
  </si>
  <si>
    <t>Wise Travel India Ltd. (WTI)</t>
  </si>
  <si>
    <t>Tesco Sourcing India Pvt. Ltd.</t>
  </si>
  <si>
    <t>Zoomcar India Pvt. Ltd.</t>
  </si>
  <si>
    <t>Trane India Pvt. Ltd.</t>
  </si>
  <si>
    <t>Bharat Sanchar Nigam Ltd. (BSNL)</t>
  </si>
  <si>
    <t>Apollo Tyres Ltd.</t>
  </si>
  <si>
    <t>Central Public Sector Undertaking (CPSU)</t>
  </si>
  <si>
    <t>Numaligarh Refinery Ltd</t>
  </si>
  <si>
    <t>Ceat Ltd.</t>
  </si>
  <si>
    <t>Rashtriya Ispat Nigam Ltd.</t>
  </si>
  <si>
    <t>MRF Ltd.</t>
  </si>
  <si>
    <t>The Singareni Collieries Company Limited (SCCL)</t>
  </si>
  <si>
    <t>Pilots &amp; Crew working with Airlines</t>
  </si>
  <si>
    <t>National Capital Region Transport Corporation Ltd. (NCRTC)</t>
  </si>
  <si>
    <t>Mahindra Spare Parts Business Unit</t>
  </si>
  <si>
    <t>Teacher's Awards</t>
  </si>
  <si>
    <t>Mahindra AFS Supplier Employees</t>
  </si>
  <si>
    <t>C9 - State Govt. &amp; employees</t>
  </si>
  <si>
    <t>Urban Local Bodies (ULBs)</t>
  </si>
  <si>
    <t>C8 - Central Govt. &amp; employees ; C9 - State Govt. &amp; employees</t>
  </si>
  <si>
    <t>JM Baxi &amp; Co.</t>
  </si>
  <si>
    <t>JU Agri Sciences Pvt. Ltd.</t>
  </si>
  <si>
    <t>KLJ Group</t>
  </si>
  <si>
    <t>Mangalore Chemicals &amp; Fertilizers Ltd.</t>
  </si>
  <si>
    <t>Mizuho Bank Ltd.</t>
  </si>
  <si>
    <t>Montecarlo Ltd.</t>
  </si>
  <si>
    <t>Mukand Ltd.</t>
  </si>
  <si>
    <t>Multiplex Agricare Pvt. Ltd.</t>
  </si>
  <si>
    <t>Multiplex Bio-Tech Pvt. Ltd.</t>
  </si>
  <si>
    <t>Mythri Infrastructure and Mining India Pvt. Ltd.</t>
  </si>
  <si>
    <t>NTT India Pvt. Ltd.</t>
  </si>
  <si>
    <t>Old World Hospitality Pvt. Ltd.</t>
  </si>
  <si>
    <t>Paramount Pesticides Ltd.</t>
  </si>
  <si>
    <t>Parsvnath Developers Ltd.</t>
  </si>
  <si>
    <t>Punjab Chemicals &amp; Crop Protection Ltd.</t>
  </si>
  <si>
    <t>Qualcomm India Pvt. Ltd.</t>
  </si>
  <si>
    <t>Rain CII Carbon (Vizag) Ltd.</t>
  </si>
  <si>
    <t>RBL Bank Ltd.</t>
  </si>
  <si>
    <t>Reality segment vendors</t>
  </si>
  <si>
    <t>Sadbhav Engineering Ltd.</t>
  </si>
  <si>
    <t>SN Agro Cultivation Trading Pvt. Ltd.</t>
  </si>
  <si>
    <t>Sneha Farms Pvt. Ltd.</t>
  </si>
  <si>
    <t>Indian Society of Blood Transfusion &amp; Immunohaematology (ISBTI)</t>
  </si>
  <si>
    <t>Solventek Pvt. Ltd.</t>
  </si>
  <si>
    <t>Super Crop Safe Ltd.</t>
  </si>
  <si>
    <t>The Oudh Sugar Mills Ltd</t>
  </si>
  <si>
    <t>Toronto-Dominion Bank</t>
  </si>
  <si>
    <t>Unichem Laboratories Ltd.</t>
  </si>
  <si>
    <t>United Biscuits Pvt. Ltd.</t>
  </si>
  <si>
    <t>Utkal Coal Mining India Pvt. Ltd.</t>
  </si>
  <si>
    <t>Vatika Ltd.</t>
  </si>
  <si>
    <t>Zam Engg and Logistics Pvt. Ltd.</t>
  </si>
  <si>
    <t>Berggruen Car Rentals Pvt. Ltd.</t>
  </si>
  <si>
    <t>Choudhary Tours &amp; Travels Pvt</t>
  </si>
  <si>
    <t>Fast Track Pvt. Ltd.</t>
  </si>
  <si>
    <t>Hybrid Fleet Management Pvt. Ltd.</t>
  </si>
  <si>
    <t>K K Travels</t>
  </si>
  <si>
    <t>Mahavir Tour &amp; Travels</t>
  </si>
  <si>
    <t>Niru Tour and Travels</t>
  </si>
  <si>
    <t>Sabre Travel Technologies Pvt. Ltd.</t>
  </si>
  <si>
    <t>Select Cabs People Logistics Pvt. Ltd.</t>
  </si>
  <si>
    <t>Sona Mobility Services Ltd. (Sixt Rent A Car)</t>
  </si>
  <si>
    <t>Tour &amp; Travel Operators</t>
  </si>
  <si>
    <t>Travel Line Holidays</t>
  </si>
  <si>
    <t>Traveltime Mobility India Pvt. Ltd.</t>
  </si>
  <si>
    <t>WelcomeTaxi Ltd.</t>
  </si>
  <si>
    <t>Architect Scheme</t>
  </si>
  <si>
    <t>Tractor owners</t>
  </si>
  <si>
    <t>Village Level Entrepreneur (VLE) / Common Service Centre (CSC)</t>
  </si>
  <si>
    <t>Bankers Bonanza</t>
  </si>
  <si>
    <t>Mumkin - J&amp;K Scheme</t>
  </si>
  <si>
    <t>Advocate Scheme</t>
  </si>
  <si>
    <t>Money Mentors Rewards</t>
  </si>
  <si>
    <t>CC - SME Scheme</t>
  </si>
  <si>
    <t>SME Scheme</t>
  </si>
  <si>
    <t>Agriculture Equipments - Manufacturers &amp; Dealers</t>
  </si>
  <si>
    <t>E-Commerce Companies</t>
  </si>
  <si>
    <t>Government Contractor</t>
  </si>
  <si>
    <t>Wine Contractor</t>
  </si>
  <si>
    <t>Not In List</t>
  </si>
  <si>
    <t>Corporate Type /
Corporate Description</t>
  </si>
  <si>
    <t>Eligibility</t>
  </si>
  <si>
    <t>Documents for passing benefits &amp; claims</t>
  </si>
  <si>
    <t>M&amp;M Group</t>
  </si>
  <si>
    <t>Z
"Signature"</t>
  </si>
  <si>
    <t>As per List
For all other Mahindra Group companies - 10642</t>
  </si>
  <si>
    <t>All active AFS group dealers with a valid dealer agreement with M&amp;M
Vehicle could be bought in the Name of Dealers Business/Firm, Personal name (including Business Partner/Spouse of partner/Children of partners only) &amp; is not applicable to Employees, Relatives, Friends of the Dealers</t>
  </si>
  <si>
    <t>i.	Valid Dealer agreement with M&amp;M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</si>
  <si>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t>All active AFS group suppliers with a valid supplier agreement with M&amp;M
Vehicle could be bought in Name of Suppliers Business/Firm/Company or Personal name (including Partners/Members/Spouse of partner/Children of partners only) &amp; is not applicable to Employees, Relatives, Friends of the Suppliers</t>
  </si>
  <si>
    <t>i.	Valid Supplier agreement with M&amp;M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</si>
  <si>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t>NIFTY 200</t>
  </si>
  <si>
    <t>Nifty 200 Identified Companies (List attached)</t>
  </si>
  <si>
    <t>"Y"
Premium</t>
  </si>
  <si>
    <t>As per List</t>
  </si>
  <si>
    <t>Identified List of Major/Global/Reputed Companies (List attached)</t>
  </si>
  <si>
    <t>International</t>
  </si>
  <si>
    <t>Embassy and Cosulates and their employees
United Nations &amp; Other International Organizations and their employees</t>
  </si>
  <si>
    <t>Insurance Companies (List attached)</t>
  </si>
  <si>
    <t>Identified List of Companies in field of Electric Mobility (List attached)</t>
  </si>
  <si>
    <t>EV 100</t>
  </si>
  <si>
    <t>Identified List of EV100 commitment Companies (List attached)</t>
  </si>
  <si>
    <t>Employees of all active AFS group suppliers with a valid supplier agreement with M&amp;M
Vehicle could be bought in Name of Employees of Suppliers &amp; is not applicable to Spouse/Children/Relatives of employees of the Suppliers</t>
  </si>
  <si>
    <t>Mahindra AFS Spare Parts Business Unit</t>
  </si>
  <si>
    <t>All active AFS group Spare Parts Business Unit with a valid agreement with M&amp;M
Vehicle could be bought in Name of Spare Parts Business Unit's Business/Firm/Company or Personal name (including Partners/Members/Spouse of partner/Children of partners only) &amp; is not applicable to Employees, Relatives, Friends of the Spare Parts Business Unit</t>
  </si>
  <si>
    <t xml:space="preserve">Focussed companies with high business potential and future prospects as per the policy </t>
  </si>
  <si>
    <t>News, Media Houses &amp; Magazines</t>
  </si>
  <si>
    <t>Doctor's Advantage</t>
  </si>
  <si>
    <t>Railways</t>
  </si>
  <si>
    <t>Railway &amp; its Employees</t>
  </si>
  <si>
    <t>Individuals who acts as a salesperson and advisor for the Life Insurance Corporation of India</t>
  </si>
  <si>
    <t>Valid ID card issued by Life Insurance Corporation of India (LIC). The ID card must be not expired.</t>
  </si>
  <si>
    <t>Shree Vajpayee Bankable Yojna</t>
  </si>
  <si>
    <t>System Generated Approval letter of Shri Vajpayee Bankable Yojna issued by Govt. of Gujarat</t>
  </si>
  <si>
    <t>Members of Bharat Diamond Bourse</t>
  </si>
  <si>
    <t xml:space="preserve">NGO's with Section 12A and 80G </t>
  </si>
  <si>
    <t>Non-Governmental Organization, focusing on social, humanitarian, or environmental objectives and having Section 12A and 80G registration</t>
  </si>
  <si>
    <r>
      <t>In Company Name</t>
    </r>
    <r>
      <rPr>
        <sz val="10"/>
        <color rgb="FF000000"/>
        <rFont val="Aptos"/>
        <family val="2"/>
      </rPr>
      <t>: Purchase Order (PO) on company letterhead + Section 12A Registration Certificate + Section 80G Registration Certificate</t>
    </r>
  </si>
  <si>
    <t>Cat A</t>
  </si>
  <si>
    <t>Companies with high business potential as per the policy</t>
  </si>
  <si>
    <t>C1 - Corporates listed in Policy (in case of Company Name)
C3 - Individuals from Corporates Listed in Policy (in case of Employee Name)</t>
  </si>
  <si>
    <t>For Members of FADA
Vehicle could be bought in the Name of Dealers Business/Firm, Personal name &amp; is not applicable to Employees, Relatives, Spouse, Children, Friends of the Dealers</t>
  </si>
  <si>
    <t>In Company Name: Purchase Order (PO) on company letterhead + Proof of membership issued by FADA</t>
  </si>
  <si>
    <t>Distributors of Major Corporates</t>
  </si>
  <si>
    <t>For Distributors/Dealers of few specific Corporates
Vehicle could be bought in the Name of Dealers Business/Firm, Personal name &amp; is not applicable to Employees, Relatives, Spouse, Children, Friends of the Dealers</t>
  </si>
  <si>
    <t>In Company Name: Purchase Order (PO) on company letterhead + Proof of being distributor of the specific Corporates</t>
  </si>
  <si>
    <t>For Distributors/Dealers of Milk and/or Water Bottle
Vehicle could be bought in the Name of Dealers Business/Firm, Personal name &amp; is not applicable to Employees, Relatives, Spouse, Children, Friends of the Dealers</t>
  </si>
  <si>
    <t>In Company Name: Purchase Order (PO) on company letterhead + Proof of being a distributor of Milk and/or Water Bottle</t>
  </si>
  <si>
    <t>Major T&amp;T Operators (Tours &amp; Travel)</t>
  </si>
  <si>
    <t>Tour Operators, Self Drive with Yellow / Black Plate
Vehicle could be bought in the Name of Dealers Business/Firm, Personal name &amp; is not applicable to Employees, Relatives, Spouse, Children, Friends of the Dealers</t>
  </si>
  <si>
    <t>C5 - Tours &amp; Travels</t>
  </si>
  <si>
    <t>CQ - CPSU (in case of CPSU Name)
C6 - Employees from CPSUs (in case of Employee Name)</t>
  </si>
  <si>
    <t>As per List
For others - 1382</t>
  </si>
  <si>
    <t>Pilots &amp; Crew working with Airlines
Not to be used for purchases directly in name of Airlines</t>
  </si>
  <si>
    <t>Teachers' Reward</t>
  </si>
  <si>
    <t>Teachers from Govt &amp; Private institutions, Including coaching classes</t>
  </si>
  <si>
    <t>C2 - Corporates not listed in Policy (in case of Company Name)
C7 - Individuals, Groups, Associations</t>
  </si>
  <si>
    <t>For Municipal Corporations / Nagar Nigams / Nagar Palikas / Zila Parishads
Not to be used for purchases by employees of Urban Local Bodies (ULBs). Employees of ULBs to be tagged in Employees from Govt.</t>
  </si>
  <si>
    <t>C8 - Central Govt. &amp; employees (in case of Central Govt. employees)
C9 - State Govt. &amp; employees (in case of State Govt. employees)</t>
  </si>
  <si>
    <t>Acting Village Head/ Sarpanch
Spouse/Children/Blood relation not permitted</t>
  </si>
  <si>
    <t>Sarpanch ID Card or Election Certificate</t>
  </si>
  <si>
    <t>Cat B</t>
  </si>
  <si>
    <t>Companies as per regular business potential as per the policy</t>
  </si>
  <si>
    <t>T&amp;T Operators (Tours &amp; Travel)</t>
  </si>
  <si>
    <t>As per List
For others - 11288</t>
  </si>
  <si>
    <t>Tractor Owners</t>
  </si>
  <si>
    <t>Only Village Level Entrepreneur (VLE)/ Common Service Centre (CSC) (Blood relations not permitted)</t>
  </si>
  <si>
    <t>Copy of VLE ID Card or Proof of CSC</t>
  </si>
  <si>
    <t>Manufacturers and Dealers of Agriculture Equipments
Vehicle could be bought in the Name of Dealers Business/Firm, Personal name &amp; is not applicable to Employees, Relatives, Spouse, Children, Friends of the Dealers</t>
  </si>
  <si>
    <t>E-Commerce Companies
Vehicle could be bought in the Name of Business/Firm, Personal name &amp; is not applicable to Employees, Relatives, Spouse, Children, Friends</t>
  </si>
  <si>
    <t>Lawyers and Legal Firms
Vehicle could be bought in the Name of Business/Firm, Personal name &amp; is not applicable to Employees, Relatives, Spouse, Children, Friends</t>
  </si>
  <si>
    <t>Banks &amp; its employees not in the Corporate Policy</t>
  </si>
  <si>
    <t>C2 - Corporates not listed in Policy
C7 - Individuals, Groups, Associations</t>
  </si>
  <si>
    <t>As per List
For others - 11260</t>
  </si>
  <si>
    <t>Chartered Accountants (CA), Cost Accountants, Chartered Financial Analysists (CFA) &amp; Company Secretaries (CS)
Vehicle could be bought in the Name of Business/Firm, Personal name &amp; is not applicable to Employees, Relatives, Spouse, Children, Friends</t>
  </si>
  <si>
    <t>Govt Contractors</t>
  </si>
  <si>
    <t>For Govt Contractors
Vehicle could be bought in the Name of Business/Firm, Personal name &amp; is not applicable to Employees, Relatives, Spouse, Children, Friends</t>
  </si>
  <si>
    <t>Wine Contractors</t>
  </si>
  <si>
    <t>For Wine Contractors
Vehicle could be bought in the Name of Business/Firm, Personal name &amp; is not applicable to Employees, Relatives, Spouse, Children, Friends</t>
  </si>
  <si>
    <t>In Jammu &amp; Kashmir only</t>
  </si>
  <si>
    <r>
      <t>For SME's</t>
    </r>
    <r>
      <rPr>
        <sz val="10"/>
        <color rgb="FF000000"/>
        <rFont val="Aptos"/>
        <family val="2"/>
      </rPr>
      <t xml:space="preserve">
</t>
    </r>
    <r>
      <rPr>
        <b/>
        <sz val="10"/>
        <color rgb="FF000000"/>
        <rFont val="Aptos"/>
        <family val="2"/>
      </rPr>
      <t xml:space="preserve">
</t>
    </r>
    <r>
      <rPr>
        <sz val="10"/>
        <color rgb="FF000000"/>
        <rFont val="Aptos"/>
        <family val="2"/>
      </rPr>
      <t>Vehicle could be bought in the Name of Business/Firm, Proprietor/Personal/Partner name &amp; is not applicable to Employees, Relatives, Spouse, Children, Friends</t>
    </r>
  </si>
  <si>
    <t>In Company Name: Purchase Order (PO) on company letterhead + GST certificate
In Personal Name: Purchase Order (PO) on company letterhead + GST certificate (Proprietor/Personal/Partner name should reflect in GST certificate) + PAN card</t>
  </si>
  <si>
    <t xml:space="preserve">Bulk Scheme </t>
  </si>
  <si>
    <t>Any individual / company buying 2 or more cars in one transaction</t>
  </si>
  <si>
    <t>BLK1: Bulk (2-5 nos)
BLK2L Bulk (6-10 nos)
BLK3: Bulk (11 &amp; above)</t>
  </si>
  <si>
    <t>NA</t>
  </si>
  <si>
    <t>Central Police Canteen (CPC)</t>
  </si>
  <si>
    <t>Cat-C</t>
  </si>
  <si>
    <t>D - CSD &amp; CPC</t>
  </si>
  <si>
    <t>Note</t>
  </si>
  <si>
    <t>Goodyear India Ltd.</t>
  </si>
  <si>
    <t>Continental India Pvt. Ltd.</t>
  </si>
  <si>
    <t>Bank of America National Association</t>
  </si>
  <si>
    <t>Reserve Bank of India (RBI)</t>
  </si>
  <si>
    <t>Citibank, N.A.</t>
  </si>
  <si>
    <t>CitiCorp Services India Pvt. Ltd.</t>
  </si>
  <si>
    <t>Citigroup Global Markets India Pvt. Ltd.</t>
  </si>
  <si>
    <t>Kotak Mahindra Asset Management Company Ltd.</t>
  </si>
  <si>
    <t>Clix Finance India Pvt. Ltd.</t>
  </si>
  <si>
    <t>Jio Credit Ltd.</t>
  </si>
  <si>
    <t>Magma FinCorp Ltd.</t>
  </si>
  <si>
    <t>Poonawalla FinCorp Ltd.</t>
  </si>
  <si>
    <t>Tyre</t>
  </si>
  <si>
    <t>Tyre Manufacturers (List attached)</t>
  </si>
  <si>
    <t>Airports Authority of India (AAI)</t>
  </si>
  <si>
    <t>Air India Assets Holding Ltd. (AIAHL)</t>
  </si>
  <si>
    <t>BA Continuum India Pvt. Ltd.</t>
  </si>
  <si>
    <t>Deloitte Tax Services India Pvt. Ltd.</t>
  </si>
  <si>
    <t>MASL Export Quality Grape Suppliers</t>
  </si>
  <si>
    <t xml:space="preserve">Tube Investments of India Ltd.
</t>
  </si>
  <si>
    <t>Mercedes-Benz India Pvt. Ltd.</t>
  </si>
  <si>
    <t>Ford Motor Pvt. Ltd.</t>
  </si>
  <si>
    <t>Standard Chartered Finance Ltd.</t>
  </si>
  <si>
    <t>Standard Chartered Investments and Loans (India) Ltd.</t>
  </si>
  <si>
    <t>Standard Chartered Private Equity Advisory (India) Pvt. Ltd.</t>
  </si>
  <si>
    <t>Standard Chartered Securities (India) Ltd.</t>
  </si>
  <si>
    <t>Standard Chartered Global Business Services Pvt. Ltd.</t>
  </si>
  <si>
    <t>Nvidia Graphics Pvt. Ltd.</t>
  </si>
  <si>
    <t>PayPal Payments Pvt. Ltd.</t>
  </si>
  <si>
    <t>Thomson Reuters India Pvt. Ltd.</t>
  </si>
  <si>
    <t>Tata Asset Management Pvt. Ltd.</t>
  </si>
  <si>
    <t>Standard Chartered (India) Modeling and Analytics Centre Pvt. Ltd.</t>
  </si>
  <si>
    <t xml:space="preserve">Morgan Stanley Advantage Services Pvt. Ltd. </t>
  </si>
  <si>
    <t>Toyota Kirloskar Motor Pvt. Ltd.</t>
  </si>
  <si>
    <t>Bank of Maharashtra</t>
  </si>
  <si>
    <t>Central Bank of India</t>
  </si>
  <si>
    <t>Indian Overseas Bank</t>
  </si>
  <si>
    <t>Punjab &amp; Sind Bank</t>
  </si>
  <si>
    <t>UCO Bank</t>
  </si>
  <si>
    <t>Dhanlaxmi Bank Ltd.</t>
  </si>
  <si>
    <t>Jammu &amp; Kashmir Bank Ltd.</t>
  </si>
  <si>
    <t>Karnataka Bank Ltd.</t>
  </si>
  <si>
    <t>Karur Vysya Bank Ltd.</t>
  </si>
  <si>
    <t>Nainital Bank Ltd.</t>
  </si>
  <si>
    <t>Tamilnad Mercantile Bank Ltd.</t>
  </si>
  <si>
    <t>Valeo India Pvt. Ltd.</t>
  </si>
  <si>
    <t>Abhijeet Dies &amp; Tools Pvt. Ltd.</t>
  </si>
  <si>
    <t>Alf Engineering Pvt. Ltd.</t>
  </si>
  <si>
    <t>Araymond India Pvt. Ltd.</t>
  </si>
  <si>
    <t>Asahi India Glass Ltd.</t>
  </si>
  <si>
    <t>Autocomp Corporation Panse Pvt. Ltd.</t>
  </si>
  <si>
    <t>CIE Automotive India Ltd.</t>
  </si>
  <si>
    <t>Divgi TorqTransfer Systems Ltd.</t>
  </si>
  <si>
    <t>Exa Thermometrics India Pvt. Ltd.</t>
  </si>
  <si>
    <t>Findreams Battery Co. Ltd.</t>
  </si>
  <si>
    <t>Harman International (India) Pvt. Ltd.</t>
  </si>
  <si>
    <t>International Automotive Components (IAC) Group</t>
  </si>
  <si>
    <t>Interface Micro Systems Pvt. Ltd.</t>
  </si>
  <si>
    <t>Lear India Pvt. Ltd.</t>
  </si>
  <si>
    <t>C.E. Info Systems Ltd. (MapMyIndia)</t>
  </si>
  <si>
    <t>MSL Driveline Systems Ltd.</t>
  </si>
  <si>
    <t>Mungi Engineers Pvt. Ltd.</t>
  </si>
  <si>
    <t>Nexteer Automotive India Pvt. Ltd.</t>
  </si>
  <si>
    <t>Paracoat Products Ltd.</t>
  </si>
  <si>
    <t>Sensata Technologies India Pvt. Ltd.</t>
  </si>
  <si>
    <t>Sharda Motor Industries Ltd.</t>
  </si>
  <si>
    <t>Supreme Nonwoven Industries Pvt. Ltd.</t>
  </si>
  <si>
    <t>TE Connectivity India Pvt. Ltd.</t>
  </si>
  <si>
    <t>Track Components Ltd.</t>
  </si>
  <si>
    <t>Ukay Metal Industries Pvt. Ltd.</t>
  </si>
  <si>
    <t>Veoneer India Pvt. Ltd.</t>
  </si>
  <si>
    <t>Visteon Electronics India Pvt. Ltd.</t>
  </si>
  <si>
    <t>Yazaki India Pvt. Ltd.</t>
  </si>
  <si>
    <t>11430</t>
  </si>
  <si>
    <t>CS - Automobile OEM</t>
  </si>
  <si>
    <t>CT - Bank</t>
  </si>
  <si>
    <t>For Jewellery, Gems, Precious Stones or Diamond Merchants/Dealers</t>
  </si>
  <si>
    <t>Harman Connected Services Corporation India Pvt. Ltd.</t>
  </si>
  <si>
    <t>Air India Express Ltd.</t>
  </si>
  <si>
    <t>Rites Ltd.</t>
  </si>
  <si>
    <t>Pawan Hans Ltd.</t>
  </si>
  <si>
    <t>Concentrix Catalyst Technologies Pvt. Ltd.</t>
  </si>
  <si>
    <t>Dell India Pvt. Ltd.</t>
  </si>
  <si>
    <t>Ericsson India Global Services Pvt. Ltd.</t>
  </si>
  <si>
    <t>K Raheja Corp Real Estate Pvt. Ltd.</t>
  </si>
  <si>
    <t>KPMG Global Delivery Center Pvt. Ltd.</t>
  </si>
  <si>
    <t>Mastercard Technology Pvt. Ltd.</t>
  </si>
  <si>
    <t>Toshiba Software India Pvt. Ltd.</t>
  </si>
  <si>
    <t>Bacardi India Pvt. Ltd.</t>
  </si>
  <si>
    <t>Nagarro Software Pvt. Ltd.</t>
  </si>
  <si>
    <t>Office of Comptroller and Auditor General of India (CAG)</t>
  </si>
  <si>
    <t>Prasar Bharati (Broadcasting Corporation of India) (Doordarshan, All India Radio)</t>
  </si>
  <si>
    <t>Deloitte and Touche Assurance and Enterprise Risk Services India Pvt. Ltd.</t>
  </si>
  <si>
    <t>Amazon Development Centre (India) Pvt. Ltd.</t>
  </si>
  <si>
    <t>ARG Outlier Media Asianet News Pvt. Ltd. (Republic)</t>
  </si>
  <si>
    <t>Asian News International (ANI News)</t>
  </si>
  <si>
    <t>Bennett Coleman &amp; Company Ltd. (Times Group)</t>
  </si>
  <si>
    <t>Comnet Publishers Pvt. Ltd. (Auto X)</t>
  </si>
  <si>
    <t>Haymarket SAC Publishing (India) Pvt. Ltd. (Autocar)</t>
  </si>
  <si>
    <t>Kasturi &amp; Sons Ltd. (The Hindu)</t>
  </si>
  <si>
    <t>Living Media India Ltd. (India Today)</t>
  </si>
  <si>
    <t>New Delhi Television Ltd. (NDTV)</t>
  </si>
  <si>
    <t>THG Publishing Pvt. Ltd. (The Hindu)</t>
  </si>
  <si>
    <t>TV Today Network Ltd. (Aaj Tak)</t>
  </si>
  <si>
    <t>Veda InnoVentures (Evreporter)</t>
  </si>
  <si>
    <t>Hongkong and Shanghai Banking Corporation Ltd. (HSBC)</t>
  </si>
  <si>
    <t>Indian Railway Catering and Tourism Corporation Ltd. (IRCTC)</t>
  </si>
  <si>
    <t>Hindustan Petroleum Corporation Ltd. (HPCL)</t>
  </si>
  <si>
    <t>Bharat Electronics Ltd. (BEL)</t>
  </si>
  <si>
    <t>Bharat Heavy Electricals Ltd. (BHEL)</t>
  </si>
  <si>
    <t>Bharat Petroleum Corporation Ltd. (BPCL)</t>
  </si>
  <si>
    <t>Container Corporation of India Ltd. (CONCOR)</t>
  </si>
  <si>
    <t>FSN E-Commerce Ventures Ltd. (Nykaa)</t>
  </si>
  <si>
    <t>Hindustan Aeronautics Ltd. (HAL)</t>
  </si>
  <si>
    <t>Hindustan Unilever Ltd. (HUL)</t>
  </si>
  <si>
    <t>Housing and Urban Development Corporation Ltd. (HUDCO)</t>
  </si>
  <si>
    <t>Indian Oil Corporation Ltd. (IOCL)</t>
  </si>
  <si>
    <t>Indian Railway Finance Corporation Ltd. (IRFC)</t>
  </si>
  <si>
    <t>Indian Renewable Energy Development Agency Ltd. (IREDA)</t>
  </si>
  <si>
    <t>Indraprastha Gas Ltd. (IGL)</t>
  </si>
  <si>
    <t>Larsen &amp; Toubro Ltd. (L&amp;T)</t>
  </si>
  <si>
    <t>National Aluminium Company Ltd. (NALCO)</t>
  </si>
  <si>
    <t>Oil and Natural Gas Corporation Ltd. (ONGC)</t>
  </si>
  <si>
    <t>Power Finance Corporation Ltd. (PFC)</t>
  </si>
  <si>
    <t>Power Grid Corporation of India Ltd. (PGCIL)</t>
  </si>
  <si>
    <t>Punjab National Bank (PNB)</t>
  </si>
  <si>
    <t>State Bank of India (SBI)</t>
  </si>
  <si>
    <t>Steel Authority of India Ltd. (SAIL)</t>
  </si>
  <si>
    <t>Tata Consultancy Services Ltd. (TCS)</t>
  </si>
  <si>
    <t>NatWest Markets Plc (Royal Bank of Scotland)</t>
  </si>
  <si>
    <t>Supermarket Grocery Supplies Pvt. Ltd. (BigBasket)</t>
  </si>
  <si>
    <t>Concentrix India Pvt. Ltd.</t>
  </si>
  <si>
    <t>Concentrix Services India Pvt. Ltd.</t>
  </si>
  <si>
    <t>Concentrix Daksh Services India Pvt. Ltd.</t>
  </si>
  <si>
    <t>Concentrix Technologies (India) Pvt. Ltd.</t>
  </si>
  <si>
    <t>Cadence Design Systems (India) Pvt. Ltd.</t>
  </si>
  <si>
    <t>Cadence AMS Design India Pvt. Ltd.</t>
  </si>
  <si>
    <t>Ienergizer IT Services Pvt. Ltd.</t>
  </si>
  <si>
    <t>Quess Corp Ltd.</t>
  </si>
  <si>
    <t>Isuzu Motors India Pvt. Ltd.</t>
  </si>
  <si>
    <t>Nissan Motor India Pvt. Ltd.</t>
  </si>
  <si>
    <t>Renault India Pvt. Ltd.</t>
  </si>
  <si>
    <t>Jaguar Land Rover India Ltd.</t>
  </si>
  <si>
    <t>Lexus India Ltd.</t>
  </si>
  <si>
    <t>VVDN Technologies Pvt. Ltd.</t>
  </si>
  <si>
    <t>Wheels India Ltd.</t>
  </si>
  <si>
    <t>Birlasoft (India) Ltd.</t>
  </si>
  <si>
    <t>BNP Paribas India Solutions Pvt. Ltd.</t>
  </si>
  <si>
    <t>Daikin Airconditioning India Pvt. Ltd.</t>
  </si>
  <si>
    <t>Denso India Pvt. Ltd.</t>
  </si>
  <si>
    <t>Hinduja Leyland Finance Ltd.</t>
  </si>
  <si>
    <t>Schindler India Pvt. Ltd.</t>
  </si>
  <si>
    <t>Schneider Electric IT Business India Pvt. Ltd.</t>
  </si>
  <si>
    <t>Sobha Ltd.</t>
  </si>
  <si>
    <t>Kone Elevator India Pvt. Ltd.</t>
  </si>
  <si>
    <t>Mylan Laboratories Ltd.</t>
  </si>
  <si>
    <t>Ogilvy And Mather Pvt. Ltd.</t>
  </si>
  <si>
    <t>Parle Biscuits Pvt. Ltd.</t>
  </si>
  <si>
    <t>Parle Products Pvt. Ltd.</t>
  </si>
  <si>
    <t>Piramal Capital and Housing Finance Ltd.</t>
  </si>
  <si>
    <t>Aakash Educational Services Ltd.</t>
  </si>
  <si>
    <t>Avenue Supermarts Ltd. (Dmart)</t>
  </si>
  <si>
    <t>Comviva Technologies Ltd.</t>
  </si>
  <si>
    <t>Com Tec Co IT Ltd. (CTC)</t>
  </si>
  <si>
    <t>Barclays Global Service Centre Pvt. Ltd.</t>
  </si>
  <si>
    <t>AstraZeneca India Pvt. Ltd.</t>
  </si>
  <si>
    <t>Indian Hotels Company Ltd. (Taj Hotels)</t>
  </si>
  <si>
    <t>Canteen Stores Department (CSD)</t>
  </si>
  <si>
    <t>Securities and Exchange Board of India (SEBI)</t>
  </si>
  <si>
    <t>JK Tyre and Industries Ltd.</t>
  </si>
  <si>
    <t>Aditya Birla Housing Finance Ltd.</t>
  </si>
  <si>
    <t>American Express Foreign Exchange Services India Ltd.</t>
  </si>
  <si>
    <t>Bajaj Auto Credit Ltd.</t>
  </si>
  <si>
    <t>BNP Paribas Securities India Pvt. Ltd.</t>
  </si>
  <si>
    <t>BSES Yamuna Power Ltd.</t>
  </si>
  <si>
    <t>Godrej Capital Ltd.</t>
  </si>
  <si>
    <t>Godrej Finance Ltd.</t>
  </si>
  <si>
    <t>Godrej Housing Finance Ltd.</t>
  </si>
  <si>
    <t>HDFC Securities Ltd.</t>
  </si>
  <si>
    <t>Hero FinCorp Ltd.</t>
  </si>
  <si>
    <t>Hitachi India Pvt. Ltd.</t>
  </si>
  <si>
    <t>Indianoil Skytanking Pvt. Ltd.</t>
  </si>
  <si>
    <t>Wipro Enterprises Pvt. Ltd.</t>
  </si>
  <si>
    <t>Wipro Pari Robotics Pvt. Ltd.</t>
  </si>
  <si>
    <t>Wipro Technologies Ltd.</t>
  </si>
  <si>
    <t>Wipro Technologies Services Ltd.</t>
  </si>
  <si>
    <t>Bayer Bioscience Pvt. Ltd.</t>
  </si>
  <si>
    <t>Bayer Vapi Pvt. Ltd.</t>
  </si>
  <si>
    <t>SKF India Ltd.</t>
  </si>
  <si>
    <t>Talbros Automotive Components Ltd.</t>
  </si>
  <si>
    <t>Talbros Engineering Ltd.</t>
  </si>
  <si>
    <t>Abott India Ltd.</t>
  </si>
  <si>
    <t>Bombardier Aerospace India Pvt. Ltd.</t>
  </si>
  <si>
    <t>Haldiram Foods International Pvt. Ltd.</t>
  </si>
  <si>
    <t>Haldiram India Pvt. Ltd.</t>
  </si>
  <si>
    <t>Haldiram Manufacturing Co. Pvt. Ltd.</t>
  </si>
  <si>
    <t>Haldiram Products Pvt. Ltd.</t>
  </si>
  <si>
    <t>Haldiram Snacks Pvt. Ltd.</t>
  </si>
  <si>
    <t>Ingersoll-Rand (India) Ltd.</t>
  </si>
  <si>
    <t>National Stock Exchange of India Ltd. (NSE)</t>
  </si>
  <si>
    <t>Pfizer Ltd.</t>
  </si>
  <si>
    <t>Sundaram Asset Management Company Ltd.</t>
  </si>
  <si>
    <t>Sundaram-Clayton Ltd.</t>
  </si>
  <si>
    <t>Tata Cummins Pvt. Ltd.</t>
  </si>
  <si>
    <t>Tata Hitachi Construction Machinery Company Pvt. Ltd.</t>
  </si>
  <si>
    <t>Tata Play Broadband Pvt. Ltd.</t>
  </si>
  <si>
    <t>Tata Play Ltd.</t>
  </si>
  <si>
    <t>Tata Realty and Infrastructure Ltd.</t>
  </si>
  <si>
    <t>Truhome Finance Ltd.</t>
  </si>
  <si>
    <t>Whirpool of India Ltd.</t>
  </si>
  <si>
    <t>Muon India Pvt. Ltd. (Vertelo)</t>
  </si>
  <si>
    <t>Tata Motors Finance Ltd.</t>
  </si>
  <si>
    <t>TMF Holdings Ltd.</t>
  </si>
  <si>
    <t>Volkswagen Finance Pvt. Ltd.</t>
  </si>
  <si>
    <t>Honda Motorcycle and Scooter India Pvt. Ltd.</t>
  </si>
  <si>
    <t>Mercedes-Benz Research and Development India Pvt. Ltd.</t>
  </si>
  <si>
    <t>Engineers India Ltd. (EIL)</t>
  </si>
  <si>
    <t>Hindustan Copper Ltd.</t>
  </si>
  <si>
    <t>National Fertilizers Ltd. (NFL)</t>
  </si>
  <si>
    <t>NLC India Ltd.</t>
  </si>
  <si>
    <t>Nuclear Power Corporation of India Ltd. (NPCIL)</t>
  </si>
  <si>
    <t>Essar Oil Ltd.</t>
  </si>
  <si>
    <t>Fabindia Ltd.</t>
  </si>
  <si>
    <t>IIFL Home Finance Ltd.</t>
  </si>
  <si>
    <t>John Deere Financial India Pvt. Ltd.</t>
  </si>
  <si>
    <t>Cinnatolliah Tea Ltd.</t>
  </si>
  <si>
    <t>Automobile OEM</t>
  </si>
  <si>
    <t>Major Banks (List attached)</t>
  </si>
  <si>
    <t>Automobile OEMs (List attached)</t>
  </si>
  <si>
    <t>Premium Insurance Companies</t>
  </si>
  <si>
    <t>Premium Banks</t>
  </si>
  <si>
    <t>Focus Insurance Companies</t>
  </si>
  <si>
    <t>Focus Banks</t>
  </si>
  <si>
    <t>Zuari Industries Ltd.</t>
  </si>
  <si>
    <t>Jio Media Ltd.</t>
  </si>
  <si>
    <t>Tata Passenger Electric Mobility Ltd. (TPEML)</t>
  </si>
  <si>
    <t>Tata Motors Passenger Vehicles Ltd. (TMPVL)</t>
  </si>
  <si>
    <t>Jewellery / Gems / Diamond Merchants</t>
  </si>
  <si>
    <t>3XO REVX</t>
  </si>
  <si>
    <t>XUV 400</t>
  </si>
  <si>
    <t>SCORPIO</t>
  </si>
  <si>
    <t>THAR</t>
  </si>
  <si>
    <t>BOLERO NEO+</t>
  </si>
  <si>
    <t>BOLERO NEO</t>
  </si>
  <si>
    <t>BOLERO</t>
  </si>
  <si>
    <t>MARAZZO</t>
  </si>
  <si>
    <t>BOLERO PIK-UP / BOLERO CAMPER / MAXX HD</t>
  </si>
  <si>
    <t>VEERO</t>
  </si>
  <si>
    <t xml:space="preserve"> MAXX CITY / SUPRO MINI TRUCK / SUPRO MAXI TRUCK</t>
  </si>
  <si>
    <r>
      <t xml:space="preserve">XUV 3XO
</t>
    </r>
    <r>
      <rPr>
        <b/>
        <sz val="10"/>
        <color rgb="FFFF0000"/>
        <rFont val="Aptos"/>
        <family val="2"/>
      </rPr>
      <t>(Not on 3XO EV)</t>
    </r>
  </si>
  <si>
    <t>Maharashtra State Electricity Distribution Company Ltd. (MSEDCL)</t>
  </si>
  <si>
    <t>Blink Commerce Pvt. Ltd. (Blinkit)</t>
  </si>
  <si>
    <t>Global Health Ltd. (Medanta)</t>
  </si>
  <si>
    <t>Hamdard Laboratories (India)</t>
  </si>
  <si>
    <t>Kuehne + Nagel Pvt. Ltd.</t>
  </si>
  <si>
    <t>Prism Technologies Ltd. (Oyo)</t>
  </si>
  <si>
    <t>Omron Automation Pvt. Ltd.</t>
  </si>
  <si>
    <t>Samtel Avionics Ltd.</t>
  </si>
  <si>
    <t>Zepto Pvt. Ltd.</t>
  </si>
  <si>
    <t>CNH Industrial (India) Pvt. Ltd.</t>
  </si>
  <si>
    <t>Escorts Kubota Ltd.</t>
  </si>
  <si>
    <t>International Tractors Ltd.</t>
  </si>
  <si>
    <t>Global Supply Chain Support Fund SCSp</t>
  </si>
  <si>
    <t>Temasek Trust Asset Management Pte Ltd.</t>
  </si>
  <si>
    <t>Abler Nordic AS</t>
  </si>
  <si>
    <t>Acumen Fund Advisory LLP</t>
  </si>
  <si>
    <t>AISECT</t>
  </si>
  <si>
    <t>v-shesh Learning Services Private Ltd.</t>
  </si>
  <si>
    <t>Rianta Capital Zurich</t>
  </si>
  <si>
    <t>Asha Investment Advisors LLP</t>
  </si>
  <si>
    <t>Avaana Capital Advisors LLP</t>
  </si>
  <si>
    <t>BlackSoil Capital Private Ltd.</t>
  </si>
  <si>
    <t>British Asian India Foundation</t>
  </si>
  <si>
    <t>British International Investment PLC</t>
  </si>
  <si>
    <t>BTG Advaya</t>
  </si>
  <si>
    <t>Canopy Planet Society</t>
  </si>
  <si>
    <t>The Caravel Group Ltd.</t>
  </si>
  <si>
    <t>Caspian Impact Investment Adviser Pvt. Ltd.</t>
  </si>
  <si>
    <t>CIIE Initiatives</t>
  </si>
  <si>
    <t>Community Investment Management LLC</t>
  </si>
  <si>
    <t>Kisetsu Saison Finance (India) Pvt. Ltd.</t>
  </si>
  <si>
    <t>Dalberg Development Advisors Pvt. Ltd.</t>
  </si>
  <si>
    <t>KND Advisors (OPC) Pvt. Ltd.</t>
  </si>
  <si>
    <t>Dia Vikas Capital Pvt. Ltd.</t>
  </si>
  <si>
    <t>Dvara Holdings</t>
  </si>
  <si>
    <t>Elevar Venture Partners LLP</t>
  </si>
  <si>
    <t>EVI Digital Sustainability Solutions Pvt. Ltd.</t>
  </si>
  <si>
    <t>ERM India Pvt. Ltd.</t>
  </si>
  <si>
    <t>South Asia Advisors LLP</t>
  </si>
  <si>
    <t>Grameen Impact Investments India Pvt. Ltd.</t>
  </si>
  <si>
    <t>Green Artha Innovations LLP</t>
  </si>
  <si>
    <t>Habitat for Humanity International Inc</t>
  </si>
  <si>
    <t>Indigram Labs Foundation</t>
  </si>
  <si>
    <t>INDUS Environmental Services Pvt. Ltd.</t>
  </si>
  <si>
    <t>LeapFrog Investments Group Ltd.</t>
  </si>
  <si>
    <t>Lightrock Investment Advisors Pvt. Ltd.</t>
  </si>
  <si>
    <t>Lok Impact Advisors Pvt. Ltd.</t>
  </si>
  <si>
    <t>John D. and Catherine T. MacArthur Foundation</t>
  </si>
  <si>
    <t>Menterra Social Impact Fund</t>
  </si>
  <si>
    <t>Michael &amp; Susan Dell Foundation India LLP</t>
  </si>
  <si>
    <t>Yunus Social Business Fund Bengaluru Pvt. Ltd.</t>
  </si>
  <si>
    <t>SBI Ventures Ltd.</t>
  </si>
  <si>
    <t>Nishith Desai Associates</t>
  </si>
  <si>
    <t>Northern Arc Investment Managers Pvt. Ltd.</t>
  </si>
  <si>
    <t>Maanaveeya Development &amp; Finance Pvt. Ltd.</t>
  </si>
  <si>
    <t>Omnivore Capital Management Advisors Pvt. Ltd.</t>
  </si>
  <si>
    <t>Peak Venture Advisors LLP</t>
  </si>
  <si>
    <t>Plataforma Ventures Pvt. Ltd.</t>
  </si>
  <si>
    <t>Prana Venture Management LLP</t>
  </si>
  <si>
    <t>9Main Managers LLP</t>
  </si>
  <si>
    <t>Raintree Family Office LLP</t>
  </si>
  <si>
    <t>Inclusive Liifesciences Fund</t>
  </si>
  <si>
    <t>Tamil Nadu Infrastructure Fund Management Corporation (TNIFMC)</t>
  </si>
  <si>
    <t>The Lemelson Foundation</t>
  </si>
  <si>
    <t>The Rockefeller Foundation</t>
  </si>
  <si>
    <t>Transition Investment Manager LLP</t>
  </si>
  <si>
    <t>Trifecta Capital Advisors LLP</t>
  </si>
  <si>
    <t>Trilegal</t>
  </si>
  <si>
    <t>Unitus Capital Pvt. Ltd.</t>
  </si>
  <si>
    <t>Upaya Social Ventures India Pvt. Ltd.</t>
  </si>
  <si>
    <t>Villgro Innovations Foundation</t>
  </si>
  <si>
    <t>Vital Strategies India Services Pvt. Ltd.</t>
  </si>
  <si>
    <t>Vivriti Asset Management Pvt. Ltd.</t>
  </si>
  <si>
    <t>Water Org Inc</t>
  </si>
  <si>
    <t>Waterfield Advisors Pvt. Ltd.</t>
  </si>
  <si>
    <t>India Resources Trust</t>
  </si>
  <si>
    <t>India Impact Investors Council (IIC)</t>
  </si>
  <si>
    <t>Jio Ltd.</t>
  </si>
  <si>
    <t>Jio Platforms Ltd.</t>
  </si>
  <si>
    <t>Jio Satellite Communications Ltd.</t>
  </si>
  <si>
    <t>Jio Things Ltd.</t>
  </si>
  <si>
    <t>Reliance Brands Ltd.</t>
  </si>
  <si>
    <t>Reliance Clothing India Ltd.</t>
  </si>
  <si>
    <t>Reliance Consumer Products Ltd.</t>
  </si>
  <si>
    <t>JK Fenner India Ltd.</t>
  </si>
  <si>
    <t>JK Lakshmi Cement Ltd.</t>
  </si>
  <si>
    <t>JK Paper Ltd.</t>
  </si>
  <si>
    <t>Umang Dairies Ltd. (JK Group)</t>
  </si>
  <si>
    <t>Global Strategic Technologies Ltd. (JK Group)</t>
  </si>
  <si>
    <t>JK Agri Genetics Ltd.</t>
  </si>
  <si>
    <t>JK Risk Managers and Insurance Brokers Ltd.</t>
  </si>
  <si>
    <t>CliniRx Research (JK Group)</t>
  </si>
  <si>
    <t>JK Lakshmipat University</t>
  </si>
  <si>
    <t>PSRI Hospital (JK Group)</t>
  </si>
  <si>
    <t>Sutlej Textiles and Industries Ltd.</t>
  </si>
  <si>
    <t>Upper Ganges Sugar &amp; Industries Ltd.</t>
  </si>
  <si>
    <t>Gobind Sugar Mills Ltd.</t>
  </si>
  <si>
    <t>CFCL Technologies Ltd.</t>
  </si>
  <si>
    <t>Indo Maroc Phosphore SA (IMACID)</t>
  </si>
  <si>
    <t>Mahanagar Telephone Nigam Ltd. (MTNL)</t>
  </si>
  <si>
    <t>NBCC (India) Ltd.</t>
  </si>
  <si>
    <t>Shipping Corporation of India Ltd.</t>
  </si>
  <si>
    <t>ONGC Videsh Ltd.</t>
  </si>
  <si>
    <t>Rashtriya Chemicals and Fertilizers Ltd. (RCF)</t>
  </si>
  <si>
    <t>IRCON International Ltd.</t>
  </si>
  <si>
    <t>CU - IIIC Members</t>
  </si>
  <si>
    <t>TAFE Motors &amp; Tractors Ltd.</t>
  </si>
  <si>
    <t>In Company Name: Purchase Order (PO) on company letterhead + GST certificate + Proof of being in Reality segment</t>
  </si>
  <si>
    <t>For CPSU companies and its employees (List attached)</t>
  </si>
  <si>
    <t>As per List
For others - 11248</t>
  </si>
  <si>
    <t>As per List
For embassies/consulates - 10791
For UN organizations - 10794</t>
  </si>
  <si>
    <t>All active MASL Export Quality Grape Suppliers with a valid agreement with MASL
Vehicle could be bought in Name of Supplier's Business/Firm/Company or Personal name (including Partners/Members/Spouse of partner/Children of partners only) &amp; is not applicable to Employees, Relatives, Friends of the Supplier</t>
  </si>
  <si>
    <t>i.	Valid Supplier agreement with MASL
ii.	Firm/Owner/Managing Partner/MD/Chairperson’s attested PAN copy
iii.	Firm/Company Purchase order copy in case of purchase in firm’s name
iv.	GST Certificate - only in case of purchase in firm’s name
v.	Relationship proof document if intended purchase is in the name of Spouse/Children</t>
  </si>
  <si>
    <r>
      <t xml:space="preserve">Tour Operators, Self Drive with Yellow / Black Plate
Vehicle could be bought in the Name of Dealers Business/Firm, Personal name &amp; is not applicable to Employees, Relatives, Spouse, Children, Friends of the Dealers
</t>
    </r>
    <r>
      <rPr>
        <b/>
        <sz val="10"/>
        <color rgb="FF000000"/>
        <rFont val="Aptos"/>
        <family val="2"/>
      </rPr>
      <t>Not to be confused with any Commercial Registration of any Commercial Vehicle</t>
    </r>
  </si>
  <si>
    <t>Proof of ownership of a Tractor (Registration Certificate or Invoice Copy)</t>
  </si>
  <si>
    <t>Any practicing Architect or Architect Firm</t>
  </si>
  <si>
    <t>ZF India Pvt. Ltd.</t>
  </si>
  <si>
    <t>Lemon Tree Hotels Ltd.</t>
  </si>
  <si>
    <t>CrowdStrike India Pvt. Ltd.</t>
  </si>
  <si>
    <t>Qualtrics India Pvt. Ltd.</t>
  </si>
  <si>
    <t>Navan Labs India Pvt. Ltd.</t>
  </si>
  <si>
    <t>BAE Systems India (Services) Pvt. Ltd.</t>
  </si>
  <si>
    <t>McCain Foods India Pvt. Ltd.</t>
  </si>
  <si>
    <t>MakeMyTrip (India) Pvt. Ltd.</t>
  </si>
  <si>
    <t>AZB &amp; Partners</t>
  </si>
  <si>
    <t>Cyril Amarchand Mangaldas</t>
  </si>
  <si>
    <t>DSK Legal</t>
  </si>
  <si>
    <t>J Sagar Associates (JSA) Advocates &amp; Solicitors</t>
  </si>
  <si>
    <t>Khaitan &amp; Co</t>
  </si>
  <si>
    <t>Kochhar &amp; Co</t>
  </si>
  <si>
    <t>Shardul Amarchand Mangaldas &amp; Co.</t>
  </si>
  <si>
    <t>Govt. &amp; Govt. Employees</t>
  </si>
  <si>
    <t>Reserve Bank of India (RBI) &amp; its employees</t>
  </si>
  <si>
    <r>
      <t xml:space="preserve">For all other CPSU companies and its employees
</t>
    </r>
    <r>
      <rPr>
        <b/>
        <sz val="10"/>
        <color theme="1"/>
        <rFont val="Aptos"/>
        <family val="2"/>
      </rPr>
      <t>The common code of CPSU to be used only in case individual code of the particular CPSU does not exist.</t>
    </r>
  </si>
  <si>
    <t>[24]7.ai, Inc.</t>
  </si>
  <si>
    <t>Dassault Systemes Solutions Lab Pvt. Ltd.</t>
  </si>
  <si>
    <t>3F Industries Ltd.</t>
  </si>
  <si>
    <t>3i Infotech Ltd.</t>
  </si>
  <si>
    <t>Aarti Industries Ltd.</t>
  </si>
  <si>
    <t>Aban Offshore Ltd.</t>
  </si>
  <si>
    <t>ABG Shipyard Ltd.</t>
  </si>
  <si>
    <t>A-Diet Express Hospitality Service Ltd.</t>
  </si>
  <si>
    <t>A V Thomas &amp; Company Ltd.</t>
  </si>
  <si>
    <t>ABCI Infrastructures Pvt. Ltd.</t>
  </si>
  <si>
    <t>Abhyuday Manufacturing &amp; Automotive Ltd.</t>
  </si>
  <si>
    <t>Abir Infrastructure Pvt. Ltd. (AIPL)</t>
  </si>
  <si>
    <t>ABN Amro Bank N.V.</t>
  </si>
  <si>
    <t>Accord Software and Systems Pvt. Ltd.</t>
  </si>
  <si>
    <t>Achariya Technologies Pvt. Ltd.</t>
  </si>
  <si>
    <t>Accurate Foods and Beverages Pvt. Ltd.</t>
  </si>
  <si>
    <t>ACG Associated Capsules Pvt. Ltd.</t>
  </si>
  <si>
    <t>Automotive Component Manufacturers Association of India (ACMA)</t>
  </si>
  <si>
    <t>ACS International India Pvt. Ltd. (ACSI)</t>
  </si>
  <si>
    <t>Action Footwears Pvt. Ltd.</t>
  </si>
  <si>
    <t>Adama India Pvt. Ltd.</t>
  </si>
  <si>
    <t>Adaptec (India) Pvt. Ltd.</t>
  </si>
  <si>
    <t>Adarsh Plant Protect Ltd.</t>
  </si>
  <si>
    <t>Adhunik Metaliks Ltd.</t>
  </si>
  <si>
    <t>Adya Dairy Products Pvt. Ltd.</t>
  </si>
  <si>
    <t>Aditi Tech Consulting Pvt. Ltd.</t>
  </si>
  <si>
    <t>Aditya Marine Ltd.</t>
  </si>
  <si>
    <t>Advanta Ltd.</t>
  </si>
  <si>
    <t>Woodland (Aero Club) Pvt. Ltd.</t>
  </si>
  <si>
    <t>Aforeserve.com Ltd.</t>
  </si>
  <si>
    <t>AIMCO Pesticides Ltd.</t>
  </si>
  <si>
    <t>Agere Systems India Pvt. Ltd.</t>
  </si>
  <si>
    <t>Agri Gold Projects Limited (AGPL)</t>
  </si>
  <si>
    <t>PM Agro Biotech Pvt. Ltd.</t>
  </si>
  <si>
    <t>Ahluwalia Contracts (India) Ltd.</t>
  </si>
  <si>
    <t>Prodair Air Products India Pvt. Ltd.</t>
  </si>
  <si>
    <t>Airstate Logistics and Couriers Pvt. Ltd.</t>
  </si>
  <si>
    <t>Airvana Networks India Pvt. Ltd.</t>
  </si>
  <si>
    <t>Ajay Bio-Tech (India) Ltd.</t>
  </si>
  <si>
    <t>Ajeet Seeds Pvt. Ltd.</t>
  </si>
  <si>
    <t>Ajmera Realty &amp; Infra India Ltd.</t>
  </si>
  <si>
    <t>Akash Constructions Pvt. Ltd.</t>
  </si>
  <si>
    <t>Aker Powergas Pvt. Ltd.</t>
  </si>
  <si>
    <t>AKR Industries Pvt. Ltd.</t>
  </si>
  <si>
    <t>Alok Industries Ltd.</t>
  </si>
  <si>
    <t>Alps Industries Ltd.</t>
  </si>
  <si>
    <t>Alfa Laval India Pvt. Ltd.</t>
  </si>
  <si>
    <t>Allana Cold Storage Pvt. Ltd.</t>
  </si>
  <si>
    <t>Allena Auto Industries Pvt. Ltd.</t>
  </si>
  <si>
    <t>Allenger's Medical Systems Ltd.</t>
  </si>
  <si>
    <t>Altria Group, Inc.</t>
  </si>
  <si>
    <t>Amalgamated Plantations Pvt. Ltd.</t>
  </si>
  <si>
    <t>Ambachem Industries</t>
  </si>
  <si>
    <t>AMPL Resources Pvt. Ltd.</t>
  </si>
  <si>
    <t>Ambica Infrastructure Pvt. Ltd.</t>
  </si>
  <si>
    <t>Amdocs Ltd.</t>
  </si>
  <si>
    <t>Wood India Engineering &amp; Projects Pvt. Ltd.</t>
  </si>
  <si>
    <t>Amity University</t>
  </si>
  <si>
    <t>Amrit Corp. Ltd.</t>
  </si>
  <si>
    <t>Amway India Enterprises Pvt. Ltd.</t>
  </si>
  <si>
    <t>Andhra Paper Ltd.</t>
  </si>
  <si>
    <t>Anik Industries Ltd.</t>
  </si>
  <si>
    <t>Ankur Drugs &amp; Pharma Ltd.</t>
  </si>
  <si>
    <t>Apar Industries Ltd.</t>
  </si>
  <si>
    <t>Ankur Seeds Pvt. Ltd.</t>
  </si>
  <si>
    <t>Anmol Agrifarms Inputs Pvt. Ltd.</t>
  </si>
  <si>
    <t>A-One Dairy Products Pvt. Ltd.</t>
  </si>
  <si>
    <t>Apeejay Surrendra Park Hotels Ltd.</t>
  </si>
  <si>
    <t>Aptara New Media Pvt. Ltd.</t>
  </si>
  <si>
    <t>AR Agro Industries Pvt. Ltd.</t>
  </si>
  <si>
    <t>Arch Pharmalabs Ltd.</t>
  </si>
  <si>
    <t>Archaen Chemical Industries Ltd.</t>
  </si>
  <si>
    <t>Ariba Technologies India Pvt. Ltd.</t>
  </si>
  <si>
    <t>Arun Excello Realty Pvt. Ltd. (AERPL)</t>
  </si>
  <si>
    <t>Asianet Satellite Communications Ltd.</t>
  </si>
  <si>
    <t>Astec Crop Care Pvt. Ltd.</t>
  </si>
  <si>
    <t>Astrotech Steels Pvt. Ltd.</t>
  </si>
  <si>
    <t>Athenahealth Technology Pvt. Ltd.</t>
  </si>
  <si>
    <t>Atlas Cycles (Haryana) Ltd.</t>
  </si>
  <si>
    <t>Atos India Pvt. Ltd.</t>
  </si>
  <si>
    <t>Syntel Pvt. Ltd.</t>
  </si>
  <si>
    <t>Vardhman Textiles Ltd.</t>
  </si>
  <si>
    <t>Autoriders International Ltd.</t>
  </si>
  <si>
    <t>Avalon Technologies Ltd.</t>
  </si>
  <si>
    <t>Avana Electrosystems Ltd.</t>
  </si>
  <si>
    <t>Aventis Pharma Ltd.</t>
  </si>
  <si>
    <t>Avon Cycles Ltd.</t>
  </si>
  <si>
    <t>Avon Ispat &amp; Power Ltd.</t>
  </si>
  <si>
    <t>Ingar Electronics Pvt. Ltd.</t>
  </si>
  <si>
    <t>Exicom Tele-Systems Ltd.</t>
  </si>
  <si>
    <t>US Technology International Pvt. Ltd.</t>
  </si>
  <si>
    <t>Salary Account Holders of ICICI Bank Ltd.</t>
  </si>
  <si>
    <t>Salary Account Holders of Axis Bank Ltd.</t>
  </si>
  <si>
    <t>LIC AgentsSalary Account Holders of HDFC Bank Ltd.</t>
  </si>
  <si>
    <t>For a Listed Corporate, use the DMS code of that Corporate and then select applicable Bulk Scheme (BLK1, BLK2, BLK3) in ROBIN
For a Non-Listed Corporate and/or Individuals buying in Bulk, use the DMS Code for 'Not in List' and then select applicable Bulk Scheme (BLK1, BLK2, BLK3) in ROBIN</t>
  </si>
  <si>
    <t>TCI Express Ltd.</t>
  </si>
  <si>
    <t>ICICI Securities Primary Dealership Ltd.</t>
  </si>
  <si>
    <t>B E Billimoria and Company Ltd.</t>
  </si>
  <si>
    <t>Bannari Amman Sugars Ltd.</t>
  </si>
  <si>
    <t>Banswara Syntex Ltd.</t>
  </si>
  <si>
    <t>Bata India Ltd.</t>
  </si>
  <si>
    <t>Ballarpur Industries Ltd. (BILT)</t>
  </si>
  <si>
    <t>Balrampur Chini Mills Ltd.</t>
  </si>
  <si>
    <t>Barry Wehmiller India Pvt. Ltd.</t>
  </si>
  <si>
    <t>Becton Dickinson India Pvt. Ltd.</t>
  </si>
  <si>
    <t>BCH Electric Ltd.</t>
  </si>
  <si>
    <t>BCL Industries Ltd.</t>
  </si>
  <si>
    <t>BearingPoint India Pvt. Ltd.</t>
  </si>
  <si>
    <t>Bengal Ambuja Housing Development Ltd.</t>
  </si>
  <si>
    <t>Berkshire India Ltd.</t>
  </si>
  <si>
    <t>Best Agrolife Ltd.</t>
  </si>
  <si>
    <t>BGR Mining &amp; Infra Ltd.</t>
  </si>
  <si>
    <t>Bhagiradha Chemicals &amp; Industries Ltd.</t>
  </si>
  <si>
    <t>Bharat Bijlee Ltd.</t>
  </si>
  <si>
    <t>Bharat Rasayan Ltd.</t>
  </si>
  <si>
    <t>Bheema Cements Ltd.</t>
  </si>
  <si>
    <t>Bhartia Infra Projects Ltd.</t>
  </si>
  <si>
    <t>Bhaskar Agro Chemicals Ltd.</t>
  </si>
  <si>
    <t>Bhavani Industries Pvt. Ltd.</t>
  </si>
  <si>
    <t>BHP Minerals India Pvt. Ltd.</t>
  </si>
  <si>
    <t>Binyas Printing Technology Pvt. Ltd.</t>
  </si>
  <si>
    <t>Smartpaddle Technology Pvt. Ltd.</t>
  </si>
  <si>
    <t>BlackRock Services India Pvt. Ltd.</t>
  </si>
  <si>
    <t>Blue Star Infotech Ltd.</t>
  </si>
  <si>
    <t>Bnazrum Agro Exports Pvt. Ltd. (BAEPL)</t>
  </si>
  <si>
    <t>BNY Mellon International Operations (India) Pvt. Ltd.</t>
  </si>
  <si>
    <t>Bojaraj Textile Mills Ltd.</t>
  </si>
  <si>
    <t>Bollineni Castings and Steel Pvt. Ltd.</t>
  </si>
  <si>
    <t>Bombay Minerals Ltd.</t>
  </si>
  <si>
    <t>Bombay Rayon Fashions Ltd.</t>
  </si>
  <si>
    <t>BSCPL Infrastructure Ltd.</t>
  </si>
  <si>
    <t>Boxco Logistics India Pvt. Ltd.</t>
  </si>
  <si>
    <t>BPL Telecom Pvt. Ltd.</t>
  </si>
  <si>
    <t>Brady Company India Pvt. Ltd.</t>
  </si>
  <si>
    <t>Technocraft Industries (India) Ltd.</t>
  </si>
  <si>
    <t>Bristol-Myers Squibb India Pvt. Ltd.</t>
  </si>
  <si>
    <t>Broadridge Financial Solutions (India) Pvt. Ltd.</t>
  </si>
  <si>
    <t>BS Ltd.</t>
  </si>
  <si>
    <t>Bumi Geo Engineering Ltd.</t>
  </si>
  <si>
    <t>Bundela Construction Pvt. Ltd.</t>
  </si>
  <si>
    <t>Zuari Seeds Ltd.</t>
  </si>
  <si>
    <t>Zuari Agro Chemicals Ltd. (ZACL)</t>
  </si>
  <si>
    <t>Zip Industries Pvt. Ltd.</t>
  </si>
  <si>
    <t>Yodlee Infotech Pvt. Ltd.</t>
  </si>
  <si>
    <t>Young Men's Christian Association (YMCA)</t>
  </si>
  <si>
    <t>Yash Technologies Pvt. Ltd.</t>
  </si>
  <si>
    <t>Yakult Danone India Pvt. Ltd.</t>
  </si>
  <si>
    <t>Xenon Pharma Pvt. Ltd.</t>
  </si>
  <si>
    <t>Wow Momo Foods Pvt. Ltd.</t>
  </si>
  <si>
    <t>Woodbriar Estate Ltd.</t>
  </si>
  <si>
    <t>Witmans Industries Pvt. Ltd.</t>
  </si>
  <si>
    <t>Winfarm Agro Industries Ltd.</t>
  </si>
  <si>
    <t>Willowood Crop Sciences Pvt. Ltd.</t>
  </si>
  <si>
    <t>William Hare (India) Pvt. Ltd.</t>
  </si>
  <si>
    <t>Western Agri Seeds Ltd.</t>
  </si>
  <si>
    <t>Waterbase Ltd.</t>
  </si>
  <si>
    <t>Vyakti Vikas Kendra India (VVKI)</t>
  </si>
  <si>
    <t>Voltamp Transformers Ltd.</t>
  </si>
  <si>
    <t>VMT Spinning Company Ltd.</t>
  </si>
  <si>
    <t>VMWare Software India Pvt. Ltd.</t>
  </si>
  <si>
    <t>Vivekanand Seeds Pvt. Ltd.</t>
  </si>
  <si>
    <t>Vishwamitra International Infra Ltd.</t>
  </si>
  <si>
    <t>Visaka Industries Ltd.</t>
  </si>
  <si>
    <t>Virtusa Consulting Services Pvt. Ltd.</t>
  </si>
  <si>
    <t>Virgo Engineers Ltd.</t>
  </si>
  <si>
    <t>Victorinox India Pvt. Ltd.</t>
  </si>
  <si>
    <t>VGP Housing Pvt. Ltd.</t>
  </si>
  <si>
    <t>VF Sourcing India Pvt. Ltd.</t>
  </si>
  <si>
    <t>Vetri Construction Machinery Co.</t>
  </si>
  <si>
    <t>Punjab State Cooperative Milk Producers' Federation Ltd.</t>
  </si>
  <si>
    <t>Verizon Communications India Pvt. Ltd.</t>
  </si>
  <si>
    <t>Venky's (India) Ltd.</t>
  </si>
  <si>
    <t>Vellore Institute of Technology (VIT)</t>
  </si>
  <si>
    <t>Velammal Educational Trust</t>
  </si>
  <si>
    <t>vCustomer Services India Pvt. Ltd.</t>
  </si>
  <si>
    <t>Varun Industries Ltd.</t>
  </si>
  <si>
    <t>Varaha Infra Ltd.</t>
  </si>
  <si>
    <t>ValueLabs Services Pvt. Ltd.</t>
  </si>
  <si>
    <t xml:space="preserve">Bausch Health Companies Inc. </t>
  </si>
  <si>
    <t>Valdel Investments Pvt. Ltd.</t>
  </si>
  <si>
    <t>Valarmathi Feeds Pvt. Ltd.</t>
  </si>
  <si>
    <t>Vaigai Canteen Pvt. Ltd.</t>
  </si>
  <si>
    <t>Vaibhav Infrastructure Pvt. Ltd.</t>
  </si>
  <si>
    <t>VDB Projects Pvt. Ltd.</t>
  </si>
  <si>
    <t>C S Infraconstruction Ltd.</t>
  </si>
  <si>
    <t>Cadila Pharmaceuticals Ltd.</t>
  </si>
  <si>
    <t>Celebrity Fashions Ltd.</t>
  </si>
  <si>
    <t>Coffee Day Global Ltd.</t>
  </si>
  <si>
    <t>Camson Bio Technologies Ltd.</t>
  </si>
  <si>
    <t>Camson Agri-ventures Pvt. Ltd.</t>
  </si>
  <si>
    <t>S&amp;P Capital IQ (India) Pvt. Ltd.</t>
  </si>
  <si>
    <t>Universal Music India Pvt. Ltd.</t>
  </si>
  <si>
    <t>Carryfast Logistics Pvt. Ltd.</t>
  </si>
  <si>
    <t>Caterpillar India Pvt. Ltd.</t>
  </si>
  <si>
    <t>CBRE South Asia Pvt. Ltd.</t>
  </si>
  <si>
    <t>CEMA Electric Lighting Products India Pvt. Ltd.</t>
  </si>
  <si>
    <t>Chakra Oil Mills</t>
  </si>
  <si>
    <t>Chemcel Bio-tech Ltd.</t>
  </si>
  <si>
    <t>Chemtech Fertilisers Pvt. Ltd.</t>
  </si>
  <si>
    <t>Chennai Bio Flora Pvt. Ltd.</t>
  </si>
  <si>
    <t>Chowgule &amp; Company Pvt. Ltd.</t>
  </si>
  <si>
    <t>CIBERsites India Pvt. Ltd.</t>
  </si>
  <si>
    <t>Cigna Health Solutions India Pvt. Ltd.</t>
  </si>
  <si>
    <t>Citec Engineering India Pvt. Ltd.</t>
  </si>
  <si>
    <t>Citrix R&amp;D India Pvt. Ltd.</t>
  </si>
  <si>
    <t>Clifton Export Pvt. Ltd.</t>
  </si>
  <si>
    <t>CME India Pvt. Ltd.</t>
  </si>
  <si>
    <t>Cole-Parmer India Pvt. Ltd.</t>
  </si>
  <si>
    <t>Manipal Hospitals Pvt. Ltd.</t>
  </si>
  <si>
    <t>Comcast India Engineering Center I LLP</t>
  </si>
  <si>
    <t>Confident Projects (India) Pvt. Ltd.</t>
  </si>
  <si>
    <t>Consulting Engineering Services (India) Pvt. Ltd.</t>
  </si>
  <si>
    <t>Consolidated Construction Consortium Ltd.</t>
  </si>
  <si>
    <t>Radisys India Ltd.</t>
  </si>
  <si>
    <t>Cordys Software India Pvt. Ltd.</t>
  </si>
  <si>
    <t>Corelogic (India) Services Pvt. Ltd.</t>
  </si>
  <si>
    <t>Corpus Media Labs (India) Pvt. Ltd.</t>
  </si>
  <si>
    <t>Covidien Healthcare India Pvt. Ltd.</t>
  </si>
  <si>
    <t>Crisil Ltd.</t>
  </si>
  <si>
    <t>Crystal Crop Protection Ltd.</t>
  </si>
  <si>
    <t>Cubic Transports Systems (India) Pvt. Ltd.</t>
  </si>
  <si>
    <t>Cultfit Healthcare Pvt. Ltd.</t>
  </si>
  <si>
    <t>Cybage Software Pvt. Ltd.</t>
  </si>
  <si>
    <t>DRN Infrastructure Pvt. Ltd.</t>
  </si>
  <si>
    <t>DHR Holding India Pvt. Ltd.</t>
  </si>
  <si>
    <t>D.A.V. College Trust and Management Society</t>
  </si>
  <si>
    <t>Dayal Fertilizsers Pvt. Ltd.</t>
  </si>
  <si>
    <t>Dayanand Medical College &amp; Hospital Managing Society</t>
  </si>
  <si>
    <t>DBM Geotechnics and Constructions Pvt. Ltd.</t>
  </si>
  <si>
    <t>DCM Shriram Ltd.</t>
  </si>
  <si>
    <t>D.E. Shaw India Pvt. Ltd.</t>
  </si>
  <si>
    <t>Delhi Public School Society (DPS)</t>
  </si>
  <si>
    <t>Dempo Industries Pvt. Ltd.</t>
  </si>
  <si>
    <t>Dendi Agro Farms Pvt. Ltd.</t>
  </si>
  <si>
    <t>Dhampur Sugar Mills Ltd.</t>
  </si>
  <si>
    <t>DIC India Ltd.</t>
  </si>
  <si>
    <t>DSC Ltd.</t>
  </si>
  <si>
    <t>Dhansar Engineering Company Pvt. Ltd.</t>
  </si>
  <si>
    <t>Dhanuka Agritech Ltd.</t>
  </si>
  <si>
    <t>Dhunseri Ventures Ltd. (DVL)</t>
  </si>
  <si>
    <t>Diageo India Pvt. Ltd.</t>
  </si>
  <si>
    <t>Diamond Engineering (Chennai) Pvt. Ltd.</t>
  </si>
  <si>
    <t>Digi M2M Solutions India Pvt. Ltd.</t>
  </si>
  <si>
    <t>Digicable Network (India) Pvt. Ltd.</t>
  </si>
  <si>
    <t>Disc Assets Lead India Ltd.</t>
  </si>
  <si>
    <t>Dishman Carbogen Amcis Ltd.</t>
  </si>
  <si>
    <t>DNY Supply Chain Solutions Pvt. Ltd.</t>
  </si>
  <si>
    <t>Dodsal Enterprises Pvt. Ltd.</t>
  </si>
  <si>
    <t>e4e Business Solutions India Pvt. Ltd.</t>
  </si>
  <si>
    <t>Dolphin Hotels Pvt. Ltd.</t>
  </si>
  <si>
    <t>Dr. M.G.R. Educational and Research Institute</t>
  </si>
  <si>
    <t>E.I.D.- Parry (India) Ltd.</t>
  </si>
  <si>
    <t>East Coast Marine Products Pvt. Ltd.</t>
  </si>
  <si>
    <t>East  Coast Biotech Project</t>
  </si>
  <si>
    <t>Eastern Condiments Pvt. Ltd.</t>
  </si>
  <si>
    <t>Eastern Pilling &amp; Construction Pvt. Ltd.</t>
  </si>
  <si>
    <t>Ecolab Food Safety &amp; Hygiene Solutions Pvt. Ltd.</t>
  </si>
  <si>
    <t>Eco Sense Labs (India) Pvt. Ltd.</t>
  </si>
  <si>
    <t>EDAC Engineering Ltd.</t>
  </si>
  <si>
    <t>EI Dupont India Pvt. Ltd.</t>
  </si>
  <si>
    <t>E-Infochips Pvt. Ltd.</t>
  </si>
  <si>
    <t>Elder Pharmaceuticals Ltd.</t>
  </si>
  <si>
    <t>Empee Distilleries Ltd.</t>
  </si>
  <si>
    <t>EIT Services India Pvt. Ltd.</t>
  </si>
  <si>
    <t>Elecon Engineering Company Ltd.</t>
  </si>
  <si>
    <t>Emami Ltd.</t>
  </si>
  <si>
    <t>Electrosteel Castings Ltd.</t>
  </si>
  <si>
    <t>Emcure Pharmaceuticals Ltd.</t>
  </si>
  <si>
    <t>Emids Technologies Pvt. Ltd.</t>
  </si>
  <si>
    <t>Empee Sugars and Chemicals Ltd.</t>
  </si>
  <si>
    <t>Emta Coal Ltd.</t>
  </si>
  <si>
    <t>Wind World (India) Ltd.</t>
  </si>
  <si>
    <t>Epic Enzymes Pharmaceuticals And Industrial Chemicals Ltd.</t>
  </si>
  <si>
    <t>ETA Engineering Private Ltd.</t>
  </si>
  <si>
    <t>Evalueserve.com Pvt. Ltd.</t>
  </si>
  <si>
    <t>Evershine India Apparels Pvt. Ltd.</t>
  </si>
  <si>
    <t>Evoke Technologies Pvt. Ltd.</t>
  </si>
  <si>
    <t>Excel Industries Ltd.</t>
  </si>
  <si>
    <t>EXIM Knits Pvt. Ltd.</t>
  </si>
  <si>
    <t>Faiveley Transport Rail Technologies India Pvt. Ltd.</t>
  </si>
  <si>
    <t>FDC Ltd.</t>
  </si>
  <si>
    <t>Fichtner Consulting Engineers (India) Pvt. Ltd.</t>
  </si>
  <si>
    <t>Fidelity Business Services India Pvt. Ltd.</t>
  </si>
  <si>
    <t>63 Moons Technologies Ltd.</t>
  </si>
  <si>
    <t>Finolex Cables Ltd.</t>
  </si>
  <si>
    <t>First American (India) Pvt. Ltd.</t>
  </si>
  <si>
    <t>Firstrand Services Pvt. Ltd.</t>
  </si>
  <si>
    <t>FIS Global Business Solutions India Pvt. Ltd.</t>
  </si>
  <si>
    <t>FIITJEE Ltd.</t>
  </si>
  <si>
    <t>Flextronics Technologies (India) Pvt. Ltd.</t>
  </si>
  <si>
    <t>Flora &amp; Fauna Housing &amp; Land Developments Pvt. Ltd.</t>
  </si>
  <si>
    <t>Usha International Ltd.</t>
  </si>
  <si>
    <t>Upgrad Education Pvt. Ltd.</t>
  </si>
  <si>
    <t>Universal Lifecare Pvt. Ltd.</t>
  </si>
  <si>
    <t>United Tradecom Pvt. Ltd.</t>
  </si>
  <si>
    <t>Unitech Ltd.</t>
  </si>
  <si>
    <t>UniCredit S.p.A.</t>
  </si>
  <si>
    <t>Unickon Financial Intermediaries Pvt. Ltd.</t>
  </si>
  <si>
    <t>UMSL Ltd.</t>
  </si>
  <si>
    <t>Uflex Ltd.</t>
  </si>
  <si>
    <t>Hiveloop Technology Pvt. Ltd.</t>
  </si>
  <si>
    <t>UBS Securities India Pvt. Ltd.</t>
  </si>
  <si>
    <t>Tyco Electronics Systems India Pvt. Ltd.</t>
  </si>
  <si>
    <t>Rajapalayam Mills Ltd.</t>
  </si>
  <si>
    <t>Tupperware India Pvt. Ltd.</t>
  </si>
  <si>
    <t>Trivitron Healthcare Pvt. Ltd.</t>
  </si>
  <si>
    <t>Triveni Engineering &amp; Industries Ltd.</t>
  </si>
  <si>
    <t>TRF Ltd.</t>
  </si>
  <si>
    <t>Transocean Drilling Services India Pvt. Ltd.</t>
  </si>
  <si>
    <t>Tower Research Capital India Pvt. Ltd.</t>
  </si>
  <si>
    <t>Total Agri Care Concern Pvt. Ltd.</t>
  </si>
  <si>
    <t>Topworth Steels and Power Pvt. Ltd.</t>
  </si>
  <si>
    <t>Topsun Energy Ltd.</t>
  </si>
  <si>
    <t>Tirupati Vehicles Pvt. Ltd.</t>
  </si>
  <si>
    <t>TIBCO Software India Pvt. Ltd.</t>
  </si>
  <si>
    <t>Thermo Fisher Scientific India Pvt. Ltd.</t>
  </si>
  <si>
    <t>Theni Guru Krishna Textile Mills Pvt. Ltd.</t>
  </si>
  <si>
    <t>West Coast Paper Mills Ltd.</t>
  </si>
  <si>
    <t>Huhtamaki PPL Ltd.</t>
  </si>
  <si>
    <t>The Nilgiri Dairy Pharm Pvt. Ltd.</t>
  </si>
  <si>
    <t>The Indian Hume Pipe Company Ltd.</t>
  </si>
  <si>
    <t>The Andhra Sugars Ltd.</t>
  </si>
  <si>
    <t>Thales India Pvt. Ltd.</t>
  </si>
  <si>
    <t>Talayar Tea Company Ltd.</t>
  </si>
  <si>
    <t>TFB Exim (India) Pvt. Ltd.</t>
  </si>
  <si>
    <t>Texmaco Rail &amp; Engineering Ltd.</t>
  </si>
  <si>
    <t>Texas Instruments (India) Pvt. Ltd.</t>
  </si>
  <si>
    <t>Terex India Pvt. Ltd.</t>
  </si>
  <si>
    <t>Sony Pictures Networks India Pvt. Ltd.</t>
  </si>
  <si>
    <t>Tektronix (India) Pvt. Ltd.</t>
  </si>
  <si>
    <t>Tejas Networks Ltd.</t>
  </si>
  <si>
    <t>Tega Industries Ltd.</t>
  </si>
  <si>
    <t>Tecnimont Pvt. Ltd.</t>
  </si>
  <si>
    <t>Tech-Sharp Engineers Pvt. Ltd.</t>
  </si>
  <si>
    <t>Tech Atlantis Solutions Pvt. Ltd.</t>
  </si>
  <si>
    <t>TeamLease Services Pvt. Ltd.</t>
  </si>
  <si>
    <t>Tea Estates India Ltd.</t>
  </si>
  <si>
    <t>Tarsh Construction Company</t>
  </si>
  <si>
    <t>Target Corporation India Pvt. Ltd.</t>
  </si>
  <si>
    <t>Tally Solutions Pvt. Ltd.</t>
  </si>
  <si>
    <t>Takeda Biopharmaceuticals India Pvt. Ltd.</t>
  </si>
  <si>
    <t>Taiwan Semiconductor Manufacturing Company Ltd.</t>
  </si>
  <si>
    <t>Synthite Industries Pvt. Ltd.</t>
  </si>
  <si>
    <t>Synergy Telecom Pvt. Ltd.</t>
  </si>
  <si>
    <t>Synechron Technologies Pvt. Ltd.</t>
  </si>
  <si>
    <t>Synchrony International Services Pvt. Ltd.</t>
  </si>
  <si>
    <t>Symphony Ltd.</t>
  </si>
  <si>
    <t>Symbol Technologies India Pvt. Ltd.</t>
  </si>
  <si>
    <t>Symantec Software and Services India Pvt. Ltd.</t>
  </si>
  <si>
    <t>Sutherland Global Services Pvt. Ltd.</t>
  </si>
  <si>
    <t>Surya Roshni Ltd.</t>
  </si>
  <si>
    <t>Surya Pharmaceutical Ltd.</t>
  </si>
  <si>
    <t>Supreme Treon Pvt. Ltd.</t>
  </si>
  <si>
    <t>Supreme Infrastructure India Ltd.</t>
  </si>
  <si>
    <t>Super Seeds Pvt. Ltd.</t>
  </si>
  <si>
    <t>SRL Ltd.</t>
  </si>
  <si>
    <t>Super Cassettes Industries Pvt. Ltd.</t>
  </si>
  <si>
    <t>Sunflag Iron &amp; Steel Company Ltd.</t>
  </si>
  <si>
    <t>Sundaram Infotech Solutions Ltd.</t>
  </si>
  <si>
    <t>Sunbeam Auto Pvt. Ltd.</t>
  </si>
  <si>
    <t>Sumtotal Systems India Pvt. Ltd.</t>
  </si>
  <si>
    <t>Summit Auto Seats Industry (Delhi) Company Pvt. Ltd.</t>
  </si>
  <si>
    <t>Excel Crop Care Ltd.</t>
  </si>
  <si>
    <t>Sula Vineyards Ltd.</t>
  </si>
  <si>
    <t>Sujana Universal Industries Ltd.</t>
  </si>
  <si>
    <t>Neueon Towers Ltd.</t>
  </si>
  <si>
    <t>Suguna Foods Pvt. Ltd.</t>
  </si>
  <si>
    <t>Sudhir Power Ltd.</t>
  </si>
  <si>
    <t>Subex Ltd.</t>
  </si>
  <si>
    <t>Strides Pharma Science Ltd.</t>
  </si>
  <si>
    <t>Sterling Infosystems (India) Pvt. Ltd.</t>
  </si>
  <si>
    <t>Sterling Biotech Ltd.</t>
  </si>
  <si>
    <t>Sterling and Wilson Pvt. Ltd.</t>
  </si>
  <si>
    <t>Sopra Steria Pvt. Ltd.</t>
  </si>
  <si>
    <t>Standard Spinning And Weaving Mills Ltd.</t>
  </si>
  <si>
    <t>SRMB Srijan Pvt. Ltd.</t>
  </si>
  <si>
    <t>Srin Soft Technologies Pvt. Ltd.</t>
  </si>
  <si>
    <t>Sri Ramadas Motor Transport Ltd.</t>
  </si>
  <si>
    <t>Sri Nagarjuna Seed Pvt. Ltd.</t>
  </si>
  <si>
    <t>Sri Durga Condev Pvt. Ltd.</t>
  </si>
  <si>
    <t>TGV SRAAC Ltd.</t>
  </si>
  <si>
    <t>SR Associates Infrastructure Pvt. Ltd.</t>
  </si>
  <si>
    <t>SPS Steels Rolling Mills Ltd.</t>
  </si>
  <si>
    <t>Sobhagia Sales Pvt. Ltd.</t>
  </si>
  <si>
    <t>Southern Petrochemical Industries Corporation Ltd.</t>
  </si>
  <si>
    <t>SPI Technologies India Pvt. Ltd.</t>
  </si>
  <si>
    <t>Spencer's Retail Ltd.</t>
  </si>
  <si>
    <t>SPANCO Ltd.</t>
  </si>
  <si>
    <t>Spanco BPO Ventures Ltd.</t>
  </si>
  <si>
    <t>Sopra Banking Software Solutions India Pvt. Ltd.</t>
  </si>
  <si>
    <t>Sonata Software Ltd.</t>
  </si>
  <si>
    <t>Sodexo India Services Pvt. Ltd.</t>
  </si>
  <si>
    <t>SOA IT Solutions Pvt. Ltd.</t>
  </si>
  <si>
    <t>SOA Software India Pvt. Ltd.</t>
  </si>
  <si>
    <t>Surya Vinayak Industries Ltd.</t>
  </si>
  <si>
    <t>FLSmidth Pvt. Ltd.</t>
  </si>
  <si>
    <t>FM India Supply Chain Pvt. Ltd.</t>
  </si>
  <si>
    <t>Fomento Resources Pvt. Ltd.</t>
  </si>
  <si>
    <t>Force 7 Securitas Pvt. Ltd.</t>
  </si>
  <si>
    <t>NXP India Pvt. Ltd.</t>
  </si>
  <si>
    <t>Fresenius Kabi India Pvt. Ltd.</t>
  </si>
  <si>
    <t>Fresenius Medical Care India Pvt. Ltd.</t>
  </si>
  <si>
    <t>Freshworks Technologies Pvt. Ltd.</t>
  </si>
  <si>
    <t>Fgi Industries India Pvt. Ltd.</t>
  </si>
  <si>
    <t>Futurestep Recruitment Services Pvt. Ltd.</t>
  </si>
  <si>
    <t>GAC Shipping (India) Pvt. Ltd.</t>
  </si>
  <si>
    <t>Ganga Agencies Pvt. Ltd.</t>
  </si>
  <si>
    <t>Ganga Kaveri Seeds Pvt. Ltd.</t>
  </si>
  <si>
    <t>Garden Silk Mills Pvt. Ltd.</t>
  </si>
  <si>
    <t>Garware Technical Fibres Ltd.</t>
  </si>
  <si>
    <t>Gartner India Research &amp; Advisory Services Pvt. Ltd.</t>
  </si>
  <si>
    <t>Gaurav Agro Tech And Seeds Pvt. Ltd.</t>
  </si>
  <si>
    <t>Gawar Construction Ltd.</t>
  </si>
  <si>
    <t>GEA BGR Energy System India Ltd.</t>
  </si>
  <si>
    <t>Geep Industries (India) Pvt. Ltd.</t>
  </si>
  <si>
    <t>General Mills India Pvt. Ltd.</t>
  </si>
  <si>
    <t>Genus Power Infrastructures Ltd.</t>
  </si>
  <si>
    <t>Geo Logistics (India) Pvt. Ltd.</t>
  </si>
  <si>
    <t>Geomax Mines &amp; Minerals Pvt. Ltd.</t>
  </si>
  <si>
    <t>George Maintenance Services Pvt. Ltd.</t>
  </si>
  <si>
    <t>Gharda Chemicals Ltd.</t>
  </si>
  <si>
    <t>Ghari Industries (India) Pvt. Ltd.</t>
  </si>
  <si>
    <t>Gujarat Heavy Chemicals Ltd.</t>
  </si>
  <si>
    <t>Gilead Sciences India Pvt. Ltd.</t>
  </si>
  <si>
    <t>Ginni Filaments Ltd.</t>
  </si>
  <si>
    <t>Gillanders Arbuthnot &amp; Company Ltd.</t>
  </si>
  <si>
    <t>Gislen Software Pvt. Ltd.</t>
  </si>
  <si>
    <t>Glare Petrochemicals Pvt. Ltd.</t>
  </si>
  <si>
    <t>Glen Appliances Pvt. Ltd.</t>
  </si>
  <si>
    <t>Global Analytics India Pvt. Ltd.</t>
  </si>
  <si>
    <t>Globe Express Services Pvt. Ltd.</t>
  </si>
  <si>
    <t>GlobeOp Financial Services (India) Pvt. Ltd.</t>
  </si>
  <si>
    <t>GM Shiptech Training Pvt. Ltd.</t>
  </si>
  <si>
    <t>Godawari Power &amp; Ispat Ltd.</t>
  </si>
  <si>
    <t>Gokaldas Exports Ltd.</t>
  </si>
  <si>
    <t>Greenply Industries Ltd.</t>
  </si>
  <si>
    <t>Grindwell Norton Ltd.</t>
  </si>
  <si>
    <t>GSS Infotech Ltd.</t>
  </si>
  <si>
    <t>Gupta Power Infrastructure Ltd.</t>
  </si>
  <si>
    <t>HEG Ltd.</t>
  </si>
  <si>
    <t>Hetero Drugs Ltd.</t>
  </si>
  <si>
    <t>Hind Agro Industries Ltd.</t>
  </si>
  <si>
    <t>India Glycols Ltd.</t>
  </si>
  <si>
    <t>Indian Metals &amp; Ferro Alloys Ltd.</t>
  </si>
  <si>
    <t>Ind-Swift Laboratories Ltd.</t>
  </si>
  <si>
    <t>Indus Fila Ltd.</t>
  </si>
  <si>
    <t>Ipca Laboratories Ltd.</t>
  </si>
  <si>
    <t>Jagatjit Industries Ltd.</t>
  </si>
  <si>
    <t>Jai Balaji Industries Ltd.</t>
  </si>
  <si>
    <t>Jain Irrigation Systems Ltd.</t>
  </si>
  <si>
    <t>Jayaswal Neco Industries Ltd.</t>
  </si>
  <si>
    <t>JCT Ltd.</t>
  </si>
  <si>
    <t>Kalpataru Ltd.</t>
  </si>
  <si>
    <t>Karvy Stock Broking Ltd.</t>
  </si>
  <si>
    <t>Kaveri Seed Company Ltd.</t>
  </si>
  <si>
    <t>Kesoram Industries Ltd.</t>
  </si>
  <si>
    <t>KNR Constructions Ltd.</t>
  </si>
  <si>
    <t>KRBL Ltd.</t>
  </si>
  <si>
    <t>Light Roofings Ltd.</t>
  </si>
  <si>
    <t>Lloyds Metals &amp; Engineers Ltd.</t>
  </si>
  <si>
    <t>Maithan Alloys Ltd.</t>
  </si>
  <si>
    <t>Manaksia Ltd.</t>
  </si>
  <si>
    <t>Mangalam Cement Ltd.</t>
  </si>
  <si>
    <t>Maral Overseas Ltd.</t>
  </si>
  <si>
    <t>Mawana Sugars Ltd.</t>
  </si>
  <si>
    <t>McLeod Russel India Ltd.</t>
  </si>
  <si>
    <t>Meghmani Organics Ltd.</t>
  </si>
  <si>
    <t>Monnet Ispat &amp; Energy Ltd.</t>
  </si>
  <si>
    <t>MSPL Ltd.</t>
  </si>
  <si>
    <t>Mysore Minerals Ltd.</t>
  </si>
  <si>
    <t>NACL Industries Ltd.</t>
  </si>
  <si>
    <t>Nahar Spinning Mills Ltd.</t>
  </si>
  <si>
    <t>Nectar Lifesciences Ltd.</t>
  </si>
  <si>
    <t>Neelachal Ispat Nigam Ltd.</t>
  </si>
  <si>
    <t>NIIT Ltd.</t>
  </si>
  <si>
    <t>Nilkamal Ltd.</t>
  </si>
  <si>
    <t>Omaxe Ltd.</t>
  </si>
  <si>
    <t>Orient Craft Ltd.</t>
  </si>
  <si>
    <t>Orissa Stevedores Ltd.</t>
  </si>
  <si>
    <t>Parabolic Drugs Ltd.</t>
  </si>
  <si>
    <t>PB Global Ltd.</t>
  </si>
  <si>
    <t>Pennar Industries Ltd.</t>
  </si>
  <si>
    <t>PLG Power Ltd.</t>
  </si>
  <si>
    <t>PNC Infratech Ltd.</t>
  </si>
  <si>
    <t>Rathi Steel &amp; Power Ltd.</t>
  </si>
  <si>
    <t>Rolta India Ltd.</t>
  </si>
  <si>
    <t>Sakthi Sugars Ltd.</t>
  </si>
  <si>
    <t>Salora International Ltd.</t>
  </si>
  <si>
    <t>Samtel Color Ltd.</t>
  </si>
  <si>
    <t>Sandhar Technologies Ltd.</t>
  </si>
  <si>
    <t>Sanjay Udyog Pvt. Ltd.</t>
  </si>
  <si>
    <t>Sanvijay Rolling &amp; Engineering Ltd.</t>
  </si>
  <si>
    <t>Saradha Realty India Ltd.</t>
  </si>
  <si>
    <t>Saraya Industries Ltd.</t>
  </si>
  <si>
    <t>Sarda Energy &amp; Minerals Ltd.</t>
  </si>
  <si>
    <t>Sharda Cropchem Ltd.</t>
  </si>
  <si>
    <t>Shreem Electric Ltd.</t>
  </si>
  <si>
    <t>Sintex Industries Ltd.</t>
  </si>
  <si>
    <t>Siyaram Silk Mills Ltd.</t>
  </si>
  <si>
    <t>Gold Star Jewellery Pvt. Ltd.</t>
  </si>
  <si>
    <t>Gopal Snacks Ltd.</t>
  </si>
  <si>
    <t>Grace Bio-Care Pvt. Ltd.</t>
  </si>
  <si>
    <t>Grace Kennett Foundation</t>
  </si>
  <si>
    <t>Greentech Industries (India) Pvt. Ltd.</t>
  </si>
  <si>
    <t>Gujarat Alkalies and Chemicals Ltd.</t>
  </si>
  <si>
    <t>Gujarat Alloys Cast Pvt. Ltd.</t>
  </si>
  <si>
    <t>Gujarat Fluorochemicals Ltd.</t>
  </si>
  <si>
    <t>H. &amp; R. Johnson (India) TBK Ltd.</t>
  </si>
  <si>
    <t>H.G. Infra Engineering Ltd.</t>
  </si>
  <si>
    <t>Halliburton India Operations Pvt. Ltd.</t>
  </si>
  <si>
    <t>Hanung Toys and Textiles Ltd.</t>
  </si>
  <si>
    <t>Hapag-Lloyd India Pvt. Ltd.</t>
  </si>
  <si>
    <t>Hardcastle Restaurants Pvt. Ltd.</t>
  </si>
  <si>
    <t>Harish Chandra (India) Ltd.</t>
  </si>
  <si>
    <t>Harsiddh Carriers Pvt. Ltd.</t>
  </si>
  <si>
    <t>Harsco India Pvt. Ltd.</t>
  </si>
  <si>
    <t>Hawa Valves (India) Pvt. Ltd.</t>
  </si>
  <si>
    <t>HBL Engineering Ltd.</t>
  </si>
  <si>
    <t>HD Hyundai Construction Equipment India Pvt. Ltd.</t>
  </si>
  <si>
    <t>Headstrong Services India Pvt. Ltd.</t>
  </si>
  <si>
    <t>HeidelbergCement India Ltd.</t>
  </si>
  <si>
    <t>H &amp; M Hennes &amp; Mauritz Retail Pvt. Ltd.</t>
  </si>
  <si>
    <t>Heritage Foods Ltd.</t>
  </si>
  <si>
    <t>Hermes India Retail and Distributors Pvt. Ltd.</t>
  </si>
  <si>
    <t>Hi-Fab Engineers Pvt. Ltd.</t>
  </si>
  <si>
    <t>Hike Pvt. Ltd.</t>
  </si>
  <si>
    <t>Hilton Hotels Management India Pvt. Ltd.</t>
  </si>
  <si>
    <t>Hindustan Agrigenetics Ltd.</t>
  </si>
  <si>
    <t>Hindustan Seeds Pvt. Ltd.</t>
  </si>
  <si>
    <t>Home Depot Sourcing India Pvt. Ltd.</t>
  </si>
  <si>
    <t>Foxconn Hon Hai Technology India Mega Development Pvt. Ltd.</t>
  </si>
  <si>
    <t>HPL Electric &amp; Power Ltd.</t>
  </si>
  <si>
    <t>HPM Chemicals and Fertilizers Ltd.</t>
  </si>
  <si>
    <t>HTC Global Services (India) Pvt. Ltd.</t>
  </si>
  <si>
    <t>Hutchison 3 Global Services Co. Pvt. Ltd.</t>
  </si>
  <si>
    <t>HIL Ltd.</t>
  </si>
  <si>
    <t>Hyderabad Chemical Pvt. Ltd.</t>
  </si>
  <si>
    <t>Ichiban Crop Science Ltd.</t>
  </si>
  <si>
    <t>ICL Fertilizers India Pvt. Ltd.</t>
  </si>
  <si>
    <t>ICOMM Tele Ltd.</t>
  </si>
  <si>
    <t>ICool Technology &amp; Communication Pvt. Ltd.</t>
  </si>
  <si>
    <t>ICRA Ltd.</t>
  </si>
  <si>
    <t>ICSA (India) Ltd.</t>
  </si>
  <si>
    <t>IdeaBytes Software India Pvt. Ltd.</t>
  </si>
  <si>
    <t>Identive Technologies LLP</t>
  </si>
  <si>
    <t>IHS Global Pvt. Ltd.</t>
  </si>
  <si>
    <t>IMIMobile Cloud Communications (India) Pvt. Ltd.</t>
  </si>
  <si>
    <t>Indage Restaurants and Leisure Ltd.</t>
  </si>
  <si>
    <t>India Comnet International Pvt. Ltd.</t>
  </si>
  <si>
    <t>ABIS Exports India Pvt. Ltd.</t>
  </si>
  <si>
    <t>Indian Public School Pvt. Ltd.</t>
  </si>
  <si>
    <t>ISMT Ltd.</t>
  </si>
  <si>
    <t>Indorama India Pvt. Ltd.</t>
  </si>
  <si>
    <t>Indo Rama Synthetics (India) Ltd.</t>
  </si>
  <si>
    <t>Infor (India) Pvt. Ltd.</t>
  </si>
  <si>
    <t>Informatica Business Solutions Pvt. Ltd.</t>
  </si>
  <si>
    <t>Initto Technologies India Pvt. Ltd.</t>
  </si>
  <si>
    <t>Inmobi Technology Services Pvt. Ltd.</t>
  </si>
  <si>
    <t>Innopark (India) Pvt. Ltd.</t>
  </si>
  <si>
    <t>Insecticides (India) Ltd.</t>
  </si>
  <si>
    <t>Intarvo Technologies Pvt. Ltd.</t>
  </si>
  <si>
    <t>Intelenet Global Services Pvt. Ltd.</t>
  </si>
  <si>
    <t>Intelligroup Asia Pvt. Ltd.</t>
  </si>
  <si>
    <t>Intercontinental Consultants And Technocrats Pvt. Ltd.</t>
  </si>
  <si>
    <t>Indian Red Cross Society (IRCS)</t>
  </si>
  <si>
    <t>Biotech International Ltd.</t>
  </si>
  <si>
    <t>Inventurus Knowledge Solutions Ltd.</t>
  </si>
  <si>
    <t>Investors Clinic Infratech Pvt. Ltd.</t>
  </si>
  <si>
    <t>ION Exchange (India) Ltd.</t>
  </si>
  <si>
    <t>IPAC Paper Boards (India) Pvt. Ltd.</t>
  </si>
  <si>
    <t>IRC Natural Resources Pvt. Ltd.</t>
  </si>
  <si>
    <t>Ireo Pvt. Ltd.</t>
  </si>
  <si>
    <t>ISAGRO (Asia) Agrochemicals Pvt. Ltd.</t>
  </si>
  <si>
    <t>iSharp Solutions Pvt. Ltd.</t>
  </si>
  <si>
    <t>Isoft Technologies Pvt. Ltd.</t>
  </si>
  <si>
    <t>ISS SDB Security Services Pvt. Ltd.</t>
  </si>
  <si>
    <t>IT Convergence Professional Services Pvt. Ltd.</t>
  </si>
  <si>
    <t>Cemindia Projects Ltd.</t>
  </si>
  <si>
    <t>Ivy Comptech Pvt. Ltd.</t>
  </si>
  <si>
    <t>S Kumars Nationwide Ltd.</t>
  </si>
  <si>
    <t>S M Logistics &amp; Warehousing Company Pvt. Ltd.</t>
  </si>
  <si>
    <t>S2Tech.com India Pvt. Ltd.</t>
  </si>
  <si>
    <t>Sabero Organics Gujarat Ltd.</t>
  </si>
  <si>
    <t>Safran India Pvt. Ltd.</t>
  </si>
  <si>
    <t>Sagar Infra Rail International Ltd.</t>
  </si>
  <si>
    <t>Sakthi Masala Pvt. Ltd.</t>
  </si>
  <si>
    <t>Salem RR Biryani Pvt. Ltd.</t>
  </si>
  <si>
    <t>Salgaocar Mining Industries Pvt. Ltd.</t>
  </si>
  <si>
    <t>Samtel India Ltd.</t>
  </si>
  <si>
    <t>Sandisk India Device Design Centre Pvt. Ltd.</t>
  </si>
  <si>
    <t>Sangam (India) Ltd.</t>
  </si>
  <si>
    <t>Sanghi Industries Ltd.</t>
  </si>
  <si>
    <t>Isgec Heavy Engineering Ltd.</t>
  </si>
  <si>
    <t>Sasken Technologies Ltd.</t>
  </si>
  <si>
    <t>Saurashtra Cement Ltd.</t>
  </si>
  <si>
    <t>Nirma Ltd.</t>
  </si>
  <si>
    <t>Schlumberger India Technology Centre Pvt. Ltd.</t>
  </si>
  <si>
    <t>Scigenics (India) Pvt. Ltd.</t>
  </si>
  <si>
    <t>Scope International Pvt. Ltd.</t>
  </si>
  <si>
    <t>SD Softech India Pvt. Ltd.</t>
  </si>
  <si>
    <t>Ramcides Cropscience Pvt. Ltd.</t>
  </si>
  <si>
    <t>SeedWorks International Ltd.</t>
  </si>
  <si>
    <t>SemanticSpace Technologies Ltd.</t>
  </si>
  <si>
    <t>Servion Global Solutions Pvt. Ltd.</t>
  </si>
  <si>
    <t>Seshasayee Paper and Boards Ltd.</t>
  </si>
  <si>
    <t>Sharda Construction and Corporation Pvt. Ltd.</t>
  </si>
  <si>
    <t>Shirdi Sai Hospital Pvt. Ltd.</t>
  </si>
  <si>
    <t>Shree Arbuda Logistics Pvt. Ltd.</t>
  </si>
  <si>
    <t>Shreeji Infraspace Pvt. Ltd.</t>
  </si>
  <si>
    <t>Shyam Industries Ltd.</t>
  </si>
  <si>
    <t>Shyam Steel Industries Ltd.</t>
  </si>
  <si>
    <t>Bodal Chemicals Ltd.</t>
  </si>
  <si>
    <t>Vibracoustic India Pvt. Ltd.</t>
  </si>
  <si>
    <t>Simbhaoli Sugars Ltd.</t>
  </si>
  <si>
    <t>Simhapuri Energy Ltd.</t>
  </si>
  <si>
    <t>Siro Clinpharm Pvt. Ltd.</t>
  </si>
  <si>
    <t>Shiva Industrial Security Agency (Gujarat) Ltd.</t>
  </si>
  <si>
    <t>Foundever CRM India Pvt. Ltd.</t>
  </si>
  <si>
    <t>Sitics Logistic Solutions Pvt. Ltd.</t>
  </si>
  <si>
    <t>Sivasakthi Industrial Explosives Pvt. Ltd.</t>
  </si>
  <si>
    <t>SKD Corporate Services Pvt. Ltd.</t>
  </si>
  <si>
    <t>SKH Metals Ltd.</t>
  </si>
  <si>
    <t>SKS Ispat and Power Ltd.</t>
  </si>
  <si>
    <t>Bharat Financial Inclusion Ltd.</t>
  </si>
  <si>
    <t>SKS Power Generation (Chhattisgarh) Ltd.</t>
  </si>
  <si>
    <t>Skypack India Pvt. Ltd.</t>
  </si>
  <si>
    <t>Deepak Fertilisers and Petrochemicals Corporation Ltd.</t>
  </si>
  <si>
    <t>Jai Bharat Industries Ltd.</t>
  </si>
  <si>
    <t>Jakson Ltd.</t>
  </si>
  <si>
    <t>JT International (Wholesale) India Pvt. Ltd.</t>
  </si>
  <si>
    <t>J B Chemicals &amp; Pharmaceuticals Ltd.</t>
  </si>
  <si>
    <t>Jiya Logistics India Pvt. Ltd.</t>
  </si>
  <si>
    <t>J.M. Mhatre Infra Pvt. Ltd.</t>
  </si>
  <si>
    <t>JMSD Services India Pvt. Ltd.</t>
  </si>
  <si>
    <t>John Distilleries Pvt. Ltd.</t>
  </si>
  <si>
    <t>Johnson Lifts Pvt. Ltd.</t>
  </si>
  <si>
    <t>Jones Lang LaSalle Property Consultants (India) Pvt. Ltd.</t>
  </si>
  <si>
    <t>Joyalukkas India Ltd.</t>
  </si>
  <si>
    <t>Kaizen Envirotech Industries Pvt. Ltd.</t>
  </si>
  <si>
    <t>Kalash Seeds Pvt. Ltd.</t>
  </si>
  <si>
    <t>Kalinga Commercial Corporation Ltd.</t>
  </si>
  <si>
    <t>Gerdau Steel India Ltd.</t>
  </si>
  <si>
    <t>Kanchan Ganga Seed Co. Pvt. Ltd.</t>
  </si>
  <si>
    <t>Karnataka Agro Chemicals Pvt. Ltd.</t>
  </si>
  <si>
    <t>Kartya Constructions Pvt. Ltd.</t>
  </si>
  <si>
    <t>Kaveri Yarns and Fabrics Ltd.</t>
  </si>
  <si>
    <t>Khanna Paper Mills Ltd.</t>
  </si>
  <si>
    <t>Khoday India Ltd.</t>
  </si>
  <si>
    <t>Kintech Synergy Pvt. Ltd.</t>
  </si>
  <si>
    <t>K.N. Biosciences (India) Pvt. Ltd.</t>
  </si>
  <si>
    <t>Knight Detective and Security Services Pvt. Ltd.</t>
  </si>
  <si>
    <t>Kodak India Pvt. Ltd.</t>
  </si>
  <si>
    <t>Kofax India Pvt. Ltd.</t>
  </si>
  <si>
    <t>Kohinoor Foods Ltd.</t>
  </si>
  <si>
    <t>Kolkata Marine and Engineering Services Pvt. Ltd.</t>
  </si>
  <si>
    <t>Kongu Dairy and Food Products Pvt. Ltd.</t>
  </si>
  <si>
    <t>Krishak Bharati Cooperative Ltd. (KRIBHCO)</t>
  </si>
  <si>
    <t>Krishi Rasayan Exports Pvt. Ltd.</t>
  </si>
  <si>
    <t>Krishidhan Seeds Pvt. Ltd.</t>
  </si>
  <si>
    <t>K-Lifestyle &amp; Industries Ltd.</t>
  </si>
  <si>
    <t>Krishna Maruti Ltd.</t>
  </si>
  <si>
    <t>Krishnapatnam Port Company Ltd. (KPCL)</t>
  </si>
  <si>
    <t>Krishna Seed Pvt. Ltd.</t>
  </si>
  <si>
    <t>K.S. Oils Ltd.</t>
  </si>
  <si>
    <t>KSB Ltd.</t>
  </si>
  <si>
    <t>KSL and Industries Ltd.</t>
  </si>
  <si>
    <t>L.G. Balakrishnan &amp; Bros Ltd.</t>
  </si>
  <si>
    <t>LT Foods Ltd.</t>
  </si>
  <si>
    <t>LMW Ltd.</t>
  </si>
  <si>
    <t>Laxmi Snacks Pvt. Ltd.</t>
  </si>
  <si>
    <t>Li &amp; Fung (India) Pvt. Ltd.</t>
  </si>
  <si>
    <t>Lifestyle International Pvt. Ltd.</t>
  </si>
  <si>
    <t>Lionbridge Technologies LLP</t>
  </si>
  <si>
    <t>Little Bee Impex Pvt. Ltd.</t>
  </si>
  <si>
    <t>Livewel Aviation Services India  Pvt. Ltd.</t>
  </si>
  <si>
    <t>Lockheed Martin India Pvt. Ltd.</t>
  </si>
  <si>
    <t>Logicbox India Pvt. Ltd.</t>
  </si>
  <si>
    <t>Logicash Solutions Pvt. Ltd.</t>
  </si>
  <si>
    <t>Luminous Power Technologies Pvt. Ltd.</t>
  </si>
  <si>
    <t>Luxor Writing Instruments Pvt. Ltd.</t>
  </si>
  <si>
    <t>Luxottica India Eyewear Pvt. Ltd.</t>
  </si>
  <si>
    <t>Randstad India Pvt. Ltd.</t>
  </si>
  <si>
    <t>Macawber Beekay Pvt. Ltd.</t>
  </si>
  <si>
    <t>Macleods Pharmaceuticals Ltd.</t>
  </si>
  <si>
    <t>Madura Biotech Pvt. Ltd.</t>
  </si>
  <si>
    <t>Maharashtra Hybrid Seeds Company Pvt. Ltd.</t>
  </si>
  <si>
    <t>Mahavir Roads and Infrastructure Pvt. Ltd.</t>
  </si>
  <si>
    <t>Malabar Gold and Diamonds Ltd.</t>
  </si>
  <si>
    <t>Malabar Institute of Medical Sciences Ltd.</t>
  </si>
  <si>
    <t>Mamata Machinery Ltd.</t>
  </si>
  <si>
    <t>Man Industries (India) Ltd.</t>
  </si>
  <si>
    <t>Mandhana Industries Pvt. Ltd.</t>
  </si>
  <si>
    <t>Manipal Education &amp; Medical Group (MEMG)</t>
  </si>
  <si>
    <t>ManpowerGroup Services India Pvt. Ltd.</t>
  </si>
  <si>
    <t>Maple Drive Pvt. Ltd.</t>
  </si>
  <si>
    <t>Margadarsi Chit Fund Pvt. Ltd.</t>
  </si>
  <si>
    <t>Marsh McLennan (India) Pvt. Ltd.</t>
  </si>
  <si>
    <t>Shree Maruti Integrated Logistics Ltd.</t>
  </si>
  <si>
    <t>Maxxis Rubber India Pvt. Ltd.</t>
  </si>
  <si>
    <t>MBL Infrastructure Ltd.</t>
  </si>
  <si>
    <t>McAfee Software (India) Pvt. Ltd.</t>
  </si>
  <si>
    <t>McNally Bharat Engineering Company Ltd.</t>
  </si>
  <si>
    <t>Meena Agency Ltd.</t>
  </si>
  <si>
    <t>Meenakshi Energy Ltd.</t>
  </si>
  <si>
    <t>ACMEC Trust</t>
  </si>
  <si>
    <t>MetLife Global Operations Support Center Pvt. Ltd.</t>
  </si>
  <si>
    <t>Karix Mobile Pvt. Ltd.</t>
  </si>
  <si>
    <t>Switz Foods Pvt. Ltd.</t>
  </si>
  <si>
    <t>Hubergroup India Pvt. Ltd.</t>
  </si>
  <si>
    <t>Micro Labs Ltd.</t>
  </si>
  <si>
    <t>Micron Semiconductor Technology India Pvt. Ltd.</t>
  </si>
  <si>
    <t>MUFG Global Service Pvt. Ltd.</t>
  </si>
  <si>
    <t>Mitter Fasteners</t>
  </si>
  <si>
    <t>Modern Road Makers Pvt. Ltd.</t>
  </si>
  <si>
    <t>Modi Rubber Ltd.</t>
  </si>
  <si>
    <t>Molex (India) Pvt. Ltd.</t>
  </si>
  <si>
    <t>Montari Industries Ltd.</t>
  </si>
  <si>
    <t>DDB Mudra Pvt. Ltd.</t>
  </si>
  <si>
    <t>DP World Mundra International Container Terminal Pvt. Ltd.</t>
  </si>
  <si>
    <t>Mu Sigma Business Solutions Pvt. Ltd.</t>
  </si>
  <si>
    <t>Muthoot FinCorp Ltd.</t>
  </si>
  <si>
    <t>MW Corp Pvt. Ltd.</t>
  </si>
  <si>
    <t>Naga Ltd.</t>
  </si>
  <si>
    <t>Namakkal Transport Carriers Pvt. Ltd.</t>
  </si>
  <si>
    <t>Nandi Infrastructure Corridor Enterprise Ltd.</t>
  </si>
  <si>
    <t>Narmada Agro Chemicals Pvt. Ltd.</t>
  </si>
  <si>
    <t>Narmadasagar Agriseeds Pvt. Ltd.</t>
  </si>
  <si>
    <t>Naspers Enterprises Pvt. Ltd.</t>
  </si>
  <si>
    <t>Nath Bio-Genes (India) Ltd.</t>
  </si>
  <si>
    <t>National Contracting Company India Pvt. Ltd.</t>
  </si>
  <si>
    <t>National Steel &amp; Agro Industries Ltd.</t>
  </si>
  <si>
    <t>Nature Green Tools and Machines Pvt. Ltd.</t>
  </si>
  <si>
    <t>Nava Ltd.</t>
  </si>
  <si>
    <t>Navbharat Seeds Pvt. Ltd.</t>
  </si>
  <si>
    <t>Navjeevan Seeds Pvt. Ltd.</t>
  </si>
  <si>
    <t>Navkar Hybrid Seeds Pvt. Ltd.</t>
  </si>
  <si>
    <t>Navkar Water Solution Pvt. Ltd.</t>
  </si>
  <si>
    <t>Navaloor Dairy Products</t>
  </si>
  <si>
    <t>Nayak Infrastructure Pvt. Ltd.</t>
  </si>
  <si>
    <t>NCR Corporation India Pvt. Ltd.</t>
  </si>
  <si>
    <t>Nelcast Ltd.</t>
  </si>
  <si>
    <t>Neptune Financial Software Pvt. Ltd.</t>
  </si>
  <si>
    <t>NetApp India Pvt. Ltd.</t>
  </si>
  <si>
    <t>Neuland Laboratories Ltd.</t>
  </si>
  <si>
    <t>Nexo Industries Pvt. Ltd.</t>
  </si>
  <si>
    <t>Nikko Auto Ltd.</t>
  </si>
  <si>
    <t>Niva Logistics LLP</t>
  </si>
  <si>
    <t>Nomura Services India Pvt. Ltd.</t>
  </si>
  <si>
    <t>Northern Operating Services Pvt. Ltd.</t>
  </si>
  <si>
    <t>Nova Medical Centers Pvt. Ltd.</t>
  </si>
  <si>
    <t>Novartis India Ltd.</t>
  </si>
  <si>
    <t>NRV Logistics Pvt. Ltd.</t>
  </si>
  <si>
    <t>Nunhems India Pvt. Ltd.</t>
  </si>
  <si>
    <t>Nutcracker Technologies Pvt. Ltd.</t>
  </si>
  <si>
    <t>Nuziveedu Seeds Ltd.</t>
  </si>
  <si>
    <t>Oasis Agro Industries Pvt. Ltd.</t>
  </si>
  <si>
    <t>Om Oil &amp; Flour Mill Ltd. (RUCHI)</t>
  </si>
  <si>
    <t>Omsons Marketing Pvt. Ltd.</t>
  </si>
  <si>
    <t>Omdeo Packers and Movers Pvt. Ltd.</t>
  </si>
  <si>
    <t>Onicra Credit Information Company Pvt. Ltd.</t>
  </si>
  <si>
    <t>OnMobile Global Ltd.</t>
  </si>
  <si>
    <t>Orchid Pharma Ltd.</t>
  </si>
  <si>
    <t>Orient Cement Ltd.</t>
  </si>
  <si>
    <t>Orris Infrastructure Pvt. Ltd.</t>
  </si>
  <si>
    <t>Paapa Builders Ltd.</t>
  </si>
  <si>
    <t>Parekh Marketing Ltd.</t>
  </si>
  <si>
    <t>Patiala Heart Institute</t>
  </si>
  <si>
    <t>Patliputra Logistics Pvt. Ltd.</t>
  </si>
  <si>
    <t>Pegasystems Worldwide India Pvt. Ltd.</t>
  </si>
  <si>
    <t>Peninsula Infra Developments Pvt. Ltd.</t>
  </si>
  <si>
    <t>Petrofac Engineering Services India Pvt. Ltd.</t>
  </si>
  <si>
    <t>Philip Morris India Trading Pvt. Ltd.</t>
  </si>
  <si>
    <t>Swan Defence and Heavy Industries Ltd.</t>
  </si>
  <si>
    <t>Piramal Enterprises Ltd.</t>
  </si>
  <si>
    <t>PPG Industries India Pvt. Ltd.</t>
  </si>
  <si>
    <t>Prabhudas Lilladher Pvt. Ltd.</t>
  </si>
  <si>
    <t>Prannath Parnami Institute of Management &amp; Technology</t>
  </si>
  <si>
    <t>Praxair India Pvt. Ltd.</t>
  </si>
  <si>
    <t>Precision Engineering Technologies India Pvt. Ltd.</t>
  </si>
  <si>
    <t>Premier Seeds Corporation</t>
  </si>
  <si>
    <t>Premier Vigilance &amp; Security Pvt. Ltd.</t>
  </si>
  <si>
    <t>Primemover Mobility Technologies Pvt. Ltd.</t>
  </si>
  <si>
    <t>Professional Couriers Pvt. Ltd.</t>
  </si>
  <si>
    <t>Progress Software Development Pvt. Ltd.</t>
  </si>
  <si>
    <t>Puretech Computer Systems Pvt. Ltd.</t>
  </si>
  <si>
    <t>Quality Foils (India) Ltd.</t>
  </si>
  <si>
    <t>R S M Pharma Pvt. Ltd.</t>
  </si>
  <si>
    <t>Radiant Cash Management Services Ltd.</t>
  </si>
  <si>
    <t>Radisson Hotels (South Asia) Pvt. Ltd.</t>
  </si>
  <si>
    <t>Rahee Infratech Ltd.</t>
  </si>
  <si>
    <t>G H Raisoni Educational Society</t>
  </si>
  <si>
    <t>Raj Corporation Ltd.</t>
  </si>
  <si>
    <t>Ralson (India) Ltd.</t>
  </si>
  <si>
    <t>Rainbow Crop Health Ltd.</t>
  </si>
  <si>
    <t>Rasi Seeds Pvt. Ltd.</t>
  </si>
  <si>
    <t>Ravindra Tubes Pvt. Ltd.</t>
  </si>
  <si>
    <t>Rawalwasia Ispat Udyog Pvt. Ltd.</t>
  </si>
  <si>
    <t>Raytheon Global Technologies India Pvt. Ltd.</t>
  </si>
  <si>
    <t>Redington Ltd.</t>
  </si>
  <si>
    <t>Reed Elsevier Publishing (India) Pvt. Ltd.</t>
  </si>
  <si>
    <t>Rediff.com India Ltd.</t>
  </si>
  <si>
    <t>Regus Office Centre Services Pvt. Ltd.</t>
  </si>
  <si>
    <t>Renaissance Global Ltd.</t>
  </si>
  <si>
    <t>ReNew Pvt. Ltd.</t>
  </si>
  <si>
    <t>Richa Global Exports Pvt. Ltd.</t>
  </si>
  <si>
    <t>Rishi Shipping India Pvt. Ltd.</t>
  </si>
  <si>
    <t>Rivigo Services Pvt. Ltd.</t>
  </si>
  <si>
    <t>RJ Corp Ltd.</t>
  </si>
  <si>
    <t>R K K R Steels Pvt. Ltd.</t>
  </si>
  <si>
    <t>Roca Bathroom Products Pvt. Ltd.</t>
  </si>
  <si>
    <t>Roche Products (India) Pvt. Ltd.</t>
  </si>
  <si>
    <t>Rockwell Collins (India) Enterprises Pvt. Ltd.</t>
  </si>
  <si>
    <t>Rockworth Systems Furniture (India) Pvt. Ltd.</t>
  </si>
  <si>
    <t>PJSC Rosneft Oil Company</t>
  </si>
  <si>
    <t>Nivaata Systems Pvt. Ltd. (Routematic)</t>
  </si>
  <si>
    <t>Royal Agri Chemicals &amp; Fertilizers Pvt. Ltd.</t>
  </si>
  <si>
    <t>Ruia Industries Pvt. Ltd.</t>
  </si>
  <si>
    <t>Firmenich Aromatics Production (India) Pvt. Ltd.</t>
  </si>
  <si>
    <t>India Energy &amp; Climate Center</t>
  </si>
  <si>
    <t>Climate Policy Initiative</t>
  </si>
  <si>
    <t>RMI Energy Solutions India</t>
  </si>
  <si>
    <t>World Resources Institute (WRI) India</t>
  </si>
  <si>
    <t>Council on Energy, Environment and Water (CEEW)</t>
  </si>
  <si>
    <t>International Council on Clean Transportation (ICCT)</t>
  </si>
  <si>
    <t>The Energy and Resources Institute (TERI)</t>
  </si>
  <si>
    <t>Climate Group</t>
  </si>
  <si>
    <t>Centre for Social and Economic Progress (CSEP)</t>
  </si>
  <si>
    <t>Center for Study of Science, Technology and Policy (CSTEP)</t>
  </si>
  <si>
    <t>OMI Foundation</t>
  </si>
  <si>
    <t>Alliance for an Energy Efficient Economy (AEEE)</t>
  </si>
  <si>
    <t>Shakti Sustainable Energy Foundation</t>
  </si>
  <si>
    <t>GIZ India</t>
  </si>
  <si>
    <t>International Copper Association India (ICA India)</t>
  </si>
  <si>
    <t>All M&amp;M Group companies permanent as well as Retired employees
Vehicle could be bought in the Name of M&amp;M Group Company Employee/Spouse/Children only, not applicable to other Relatives/Friends
Also applicable for puchases in the name of M&amp;M Group Company listed in the Policy. In case of a M&amp;M Group Company not in list, use Mahindra &amp; Mahindra Company code (10642).</t>
  </si>
  <si>
    <t>Hetero Labs Ltd.</t>
  </si>
  <si>
    <t>Telangana State Govt. and its Employees</t>
  </si>
  <si>
    <t>Telengana State Govt.</t>
  </si>
  <si>
    <t>For Telangana State Government and its Employees</t>
  </si>
  <si>
    <t>Hari Krishna Exports Pvt. Ltd.</t>
  </si>
  <si>
    <t>HK HUB Diamond LLP</t>
  </si>
  <si>
    <t>H.K. Designs (India) LLP</t>
  </si>
  <si>
    <t>Kisna Diamond Jewellery</t>
  </si>
  <si>
    <t>McKinsey  &amp; Company, Inc.</t>
  </si>
  <si>
    <t>McKinsey Global Services India Pvt. Ltd.</t>
  </si>
  <si>
    <t>Automotive Division (AD)</t>
  </si>
  <si>
    <t>Farm Division (FD)</t>
  </si>
  <si>
    <t>Mahindra Truck and Bus (MTB)</t>
  </si>
  <si>
    <t>Mahindra Powerol Division</t>
  </si>
  <si>
    <t>Sarpanch ka Maan</t>
  </si>
  <si>
    <t>Swaraj Division (SD)</t>
  </si>
  <si>
    <t>Contact Person Name</t>
  </si>
  <si>
    <t>Contact Person Mobile No.</t>
  </si>
  <si>
    <t>Contact Person Email ID</t>
  </si>
  <si>
    <t>Particulars</t>
  </si>
  <si>
    <t>Remarks</t>
  </si>
  <si>
    <t>Address of Contact Person</t>
  </si>
  <si>
    <t>Brief Remarks about Company</t>
  </si>
  <si>
    <t>Key Points of Discussion with Contact Person</t>
  </si>
  <si>
    <t>Has the Corporate agreed to share emailers/creatives of Mahindra Corporate benefits to its employees?</t>
  </si>
  <si>
    <t>Has the Corporate agreed to allow Mahindra to display its vehicles inside their campuses?</t>
  </si>
  <si>
    <t>If more than 1 office/plant across India, specify locations/plants</t>
  </si>
  <si>
    <t>Proposed by (Signature, Name, Designation, Email ID)</t>
  </si>
  <si>
    <t>Concurred by (Signature, Name, Designation, Email ID) of level not below L5DH</t>
  </si>
  <si>
    <t>Proposed to be added in which category? (Options: Z, Y, F, A, B)</t>
  </si>
  <si>
    <t>Legal Name of proposed Corporate</t>
  </si>
  <si>
    <t>Qatar Airways Group (Q.C.S.C.)</t>
  </si>
  <si>
    <t>Singapore Airlines Ltd.</t>
  </si>
  <si>
    <t>Cathay Pacific Airways Ltd.</t>
  </si>
  <si>
    <t>Emirates Logistics India Pvt. Ltd.</t>
  </si>
  <si>
    <t>ANA Holdings Inc.</t>
  </si>
  <si>
    <t>Turkish Airlines Inc.</t>
  </si>
  <si>
    <t>Korean Airlines Co. Ltd.</t>
  </si>
  <si>
    <t>Air France, India</t>
  </si>
  <si>
    <t>Japan Airlines Co. Ltd.</t>
  </si>
  <si>
    <t>Hainan Airlines Holding Co. Ltd.</t>
  </si>
  <si>
    <t>EVA Airways Corporation</t>
  </si>
  <si>
    <t>British Airways Plc</t>
  </si>
  <si>
    <t>Qantas Airways Ltd.</t>
  </si>
  <si>
    <t>Lufthansa Cargo India Ltd.</t>
  </si>
  <si>
    <t>Virgin Atlantic Airways Ltd.</t>
  </si>
  <si>
    <t>Saudi Arabian Airlines</t>
  </si>
  <si>
    <t>Starlux Airlines Co. Ltd.</t>
  </si>
  <si>
    <t>Air Canada</t>
  </si>
  <si>
    <t>KLM Royal Dutch Airlines</t>
  </si>
  <si>
    <t>Delta Air Lines Pvt. Ltd.</t>
  </si>
  <si>
    <t>Austrian Airlines AG</t>
  </si>
  <si>
    <t>Air New Zealand Ltd.</t>
  </si>
  <si>
    <t>Finnair Plc</t>
  </si>
  <si>
    <t>Etihad Airways P.J.S.C.</t>
  </si>
  <si>
    <t>Malaysia Airlines Berhad</t>
  </si>
  <si>
    <t>Thai Airways International Plc</t>
  </si>
  <si>
    <t>United Airlines Holdings, Inc.</t>
  </si>
  <si>
    <t>SNV Aviation Pvt. Ltd. (Akasa Air)</t>
  </si>
  <si>
    <t>FORM FOR DEVIATION APPROVAL IN MAHINDRA CORPORATE PRIVILEGE POLICY</t>
  </si>
  <si>
    <t>FORM FOR ADDING NEW CORPORATE IN MAHINDRA CORPORATE PRIVILEGE POLICY</t>
  </si>
  <si>
    <t>Corporate Code (if applicable)</t>
  </si>
  <si>
    <t>Corporate Category (if applicable)</t>
  </si>
  <si>
    <t>Intended Vehicle Model Name</t>
  </si>
  <si>
    <t>Intended Vehicle Variant Name</t>
  </si>
  <si>
    <t>Details of Deviation Sought</t>
  </si>
  <si>
    <t>Name of Corporate (if applicable)</t>
  </si>
  <si>
    <t>Name of Dealership (if applicable)</t>
  </si>
  <si>
    <t>Area Office Name (if applicable)</t>
  </si>
  <si>
    <t>Zone Name (if applicable)</t>
  </si>
  <si>
    <t>Intended Discount (if applicable)</t>
  </si>
  <si>
    <t>If Group, then names of all entities under Group</t>
  </si>
  <si>
    <t>Location and Address of Corporate</t>
  </si>
  <si>
    <t>Approx. No. of Employees</t>
  </si>
  <si>
    <t>More details on salary structure, leasing policies, etc. available for the proposed Corporate</t>
  </si>
  <si>
    <t>Is the Corporate being proposed to accommodate an immediate sale at dealership?</t>
  </si>
  <si>
    <t>Ayvens India Pvt. Ltd.</t>
  </si>
  <si>
    <t>R1 RCM Global Pvt. Ltd.</t>
  </si>
  <si>
    <t>Imperial Auto Industries Ltd.</t>
  </si>
  <si>
    <t>Mahindra MSTC Recycling Pvt. Ltd.</t>
  </si>
  <si>
    <t>Pioneer Client Associates Pvt. Ltd.</t>
  </si>
  <si>
    <t>Hays India Pvt. Ltd.</t>
  </si>
  <si>
    <t>Jaquar and Company Pvt. Ltd.</t>
  </si>
  <si>
    <t>Techno Electric &amp; Engineering Company Ltd.</t>
  </si>
  <si>
    <t>Amrita Hospital, Faridabad</t>
  </si>
  <si>
    <t>Blue Sapphire Healthcares Pvt. Ltd. (Asian Institute of Medical Sciences)</t>
  </si>
  <si>
    <t>Primus Health Care Pvt. Ltd.</t>
  </si>
  <si>
    <t>Andritz Hydro Pvt. Ltd.</t>
  </si>
  <si>
    <t>Aquasub Engineering</t>
  </si>
  <si>
    <t>CRI Pumps Pvt. Ltd.</t>
  </si>
  <si>
    <t>Duke Plasto Technique Pvt. Ltd.</t>
  </si>
  <si>
    <t>Falcon Pumps Pvt. Ltd.</t>
  </si>
  <si>
    <t>La-Gajjar Machineries Pvt. Ltd.</t>
  </si>
  <si>
    <t>Lubi Industries LLP</t>
  </si>
  <si>
    <t>Oswal Pumps Ltd.</t>
  </si>
  <si>
    <t>Texmo Engineering Pvt. Ltd.</t>
  </si>
  <si>
    <t>Wilo Mather and Platt Pumps Pvt. Ltd.</t>
  </si>
  <si>
    <t>WPIL Ltd.</t>
  </si>
  <si>
    <t>Cremica Food Industries Ltd.</t>
  </si>
  <si>
    <t>Nxtra Data Ltd.</t>
  </si>
  <si>
    <t>Wika Process Solutions India Pvt. Ltd.</t>
  </si>
  <si>
    <t>Raymond Ltd.</t>
  </si>
  <si>
    <t>Imperial Auto Suppliers</t>
  </si>
  <si>
    <t>Apraava Energy Pvt. Ltd.</t>
  </si>
  <si>
    <t>Akbar Travels of India Pvt. Ltd.</t>
  </si>
  <si>
    <t>Angad Car Rentals</t>
  </si>
  <si>
    <t>Ecos (India) Mobility &amp; Hospitality Ltd.</t>
  </si>
  <si>
    <t>First Cars Pvt. Ltd.</t>
  </si>
  <si>
    <t>Fab Cars Pvt. Ltd.</t>
  </si>
  <si>
    <t>Giriraj Mobility Services Pvt. Ltd.</t>
  </si>
  <si>
    <t>Khaira Tourist Services</t>
  </si>
  <si>
    <t>KTC (India) Ltd.</t>
  </si>
  <si>
    <t>Mann Tours India Pvt. Ltd.</t>
  </si>
  <si>
    <t>Pannu Car Rentals Pvt. Ltd.</t>
  </si>
  <si>
    <t>Vivek Travels Pvt. Ltd.</t>
  </si>
  <si>
    <t>Tata Motors Ltd.</t>
  </si>
  <si>
    <t>ICICI Home Finance Company Ltd.</t>
  </si>
  <si>
    <t>ICICI Venture Funds Management Company Ltd.</t>
  </si>
  <si>
    <t>ICICI Securities Ltd.</t>
  </si>
  <si>
    <r>
      <t xml:space="preserve">Indian Airforce/ Indian Navy/ Indian Army
</t>
    </r>
    <r>
      <rPr>
        <b/>
        <sz val="10"/>
        <color theme="1"/>
        <rFont val="Aptos"/>
        <family val="2"/>
      </rPr>
      <t>No Corporate Scheme is applicable in case of CSD purchases</t>
    </r>
  </si>
  <si>
    <r>
      <t xml:space="preserve">Kendriya Police Kalyan Bhandar (KPKB) - Central Armed Police Forces (CAPF), the Central Police Organisations, and different state police forces
</t>
    </r>
    <r>
      <rPr>
        <b/>
        <sz val="10"/>
        <color theme="1"/>
        <rFont val="Aptos"/>
        <family val="2"/>
      </rPr>
      <t>No Corporate Scheme is applicable in case of KPKB/CPC purchases</t>
    </r>
  </si>
  <si>
    <t>Indian Farmers Fertiliser Cooperative Ltd. (IFFCO)</t>
  </si>
  <si>
    <t>LambdaTest India Pvt. Ltd. (TestMu AI)</t>
  </si>
  <si>
    <t>Escalent Consulting India Pvt. Ltd.</t>
  </si>
  <si>
    <t>Judges &amp; Courts Scheme</t>
  </si>
  <si>
    <t>The Corporate Name in SalesGenie/Cerebro/ROBIN should match exactly with the Purchase Order (PO) or documents of the employee. In case of any mis-match, such as subsidiary or sister concern company of a Corporate in the List, suitable approval required from Head (Corporate Sales).</t>
  </si>
  <si>
    <r>
      <t xml:space="preserve">Salary Account Holders with specific Banks, where Banks have circulated scheme notification to its Beneficiaries.
Only those customers who have received such discount scheme notification from Banks are eligible for this scheme.
</t>
    </r>
    <r>
      <rPr>
        <b/>
        <sz val="10"/>
        <color theme="1"/>
        <rFont val="Aptos"/>
        <family val="2"/>
      </rPr>
      <t>This scheme is not to be confused with Employees of these Banks and neither this scheme has to be promoted by Mahindra or its Dealers. This is for customers coming with copy of the scheme notification received from these Banks and seeking this benefit from Mahindra or its Dealers.</t>
    </r>
  </si>
  <si>
    <r>
      <t xml:space="preserve">Copy of scheme notification email from Bank + Proof of holding a salary account with the Bank who sent the scheme notification
</t>
    </r>
    <r>
      <rPr>
        <b/>
        <sz val="10"/>
        <color theme="1"/>
        <rFont val="Aptos"/>
        <family val="2"/>
      </rPr>
      <t>Both are mandatory - along with beneficiary's company name</t>
    </r>
  </si>
  <si>
    <r>
      <t xml:space="preserve">Purchase of vehicles by Non Listed Corporates or employees of Non listed Corporates </t>
    </r>
    <r>
      <rPr>
        <b/>
        <sz val="10"/>
        <color rgb="FF000000"/>
        <rFont val="Aptos"/>
        <family val="2"/>
      </rPr>
      <t>with prior approval from Head (Corporate Sales)</t>
    </r>
    <r>
      <rPr>
        <sz val="10"/>
        <color rgb="FF000000"/>
        <rFont val="Aptos"/>
        <family val="2"/>
      </rPr>
      <t xml:space="preserve">
</t>
    </r>
    <r>
      <rPr>
        <b/>
        <sz val="10"/>
        <color rgb="FF000000"/>
        <rFont val="Aptos"/>
        <family val="2"/>
      </rPr>
      <t>Tagging of this Code or providing discount under this Code without approval shall not be entertained for claims</t>
    </r>
  </si>
  <si>
    <t>Note: Submit the filled form to Nayak.Diptimoy@mahindra.com and ADcorporate@mahindra.com</t>
  </si>
  <si>
    <t>Kochi Metro Rail Ltd. (KMRL)</t>
  </si>
  <si>
    <t>Tata ClassEdge Ltd.</t>
  </si>
  <si>
    <t>CF - M&amp;M Group Companies</t>
  </si>
  <si>
    <t>CG - AFS Dealers Only</t>
  </si>
  <si>
    <t>CH - AFS Suppliers Only</t>
  </si>
  <si>
    <t>CI - EV100 Companies</t>
  </si>
  <si>
    <t>CK - Insurance Sector</t>
  </si>
  <si>
    <t>CL - International Organizations</t>
  </si>
  <si>
    <t>CM - NIFTY-200 Companies</t>
  </si>
  <si>
    <t>CO - Major Companies</t>
  </si>
  <si>
    <t>CQ - CPSUs ; 
C6 - Employees from CPSUs</t>
  </si>
  <si>
    <t>CR - Tyre Companies</t>
  </si>
  <si>
    <t>CS - Automobile OEMs</t>
  </si>
  <si>
    <t>CT - Banks</t>
  </si>
  <si>
    <t>CV - Airline Companies</t>
  </si>
  <si>
    <t>C2 - Corporate Not Listed in Policy</t>
  </si>
  <si>
    <t>CJ - E-Mobility Companies</t>
  </si>
  <si>
    <t>CN - Leasing Companies</t>
  </si>
  <si>
    <t>CP - News Companies</t>
  </si>
  <si>
    <t>C7 - Individuals, Groups, Associations ; C2 - Corporate Not Listed in Policy</t>
  </si>
  <si>
    <t>Roppen Transportation Services Pvt. Ltd. (Rapido)</t>
  </si>
  <si>
    <t>Transportation Corporation of India Ltd. (TCIL)</t>
  </si>
  <si>
    <t>Jubilant FoodWorks Ltd.</t>
  </si>
  <si>
    <t>Jubilant Ingrevia Ltd.</t>
  </si>
  <si>
    <t>Jubilant Industries Ltd.</t>
  </si>
  <si>
    <t>Jubilant Agri &amp; Consumer Products Ltd.</t>
  </si>
  <si>
    <t>Jubilant Biosys Ltd.</t>
  </si>
  <si>
    <t>Jubilant Enpro Pvt. Ltd.</t>
  </si>
  <si>
    <t>Jubilant Beverages Ltd.</t>
  </si>
  <si>
    <t>Jubilant Consumer India Pvt. Ltd.</t>
  </si>
  <si>
    <t>Locon Solutions Pvt. Ltd. (Housing.com)</t>
  </si>
  <si>
    <t>Bajaj Energy Ltd.</t>
  </si>
  <si>
    <t>Lalitpur Power Generation Company Ltd.</t>
  </si>
  <si>
    <t>Bajaj Hindusthan Ltd.</t>
  </si>
  <si>
    <t>Bajaj Consumer Care Ltd.</t>
  </si>
  <si>
    <t>Black Box Ltd.</t>
  </si>
  <si>
    <t>Black Box Network Services India Pvt. Ltd.</t>
  </si>
  <si>
    <t>Inshorts India Advertising and Services Pvt. Ltd.</t>
  </si>
  <si>
    <t>Dharampal Satypal Group (DS Group)</t>
  </si>
  <si>
    <t>Addverb Technologies Ltd.</t>
  </si>
  <si>
    <t>Siemens EDA (India) Pvt. Ltd.</t>
  </si>
  <si>
    <t>Siemens EDA (Sales &amp; Services) Pvt. Ltd.</t>
  </si>
  <si>
    <t>Siemens Industry Software (India) Pvt. Ltd.</t>
  </si>
  <si>
    <t>Hero Housing Finance Ltd.</t>
  </si>
  <si>
    <t>Grant Thornton Bharat LLP</t>
  </si>
  <si>
    <t>Novateur Electrical &amp; Digital Systems Pvt. Ltd.</t>
  </si>
  <si>
    <t>Discoveryland Ltd.</t>
  </si>
  <si>
    <t>Dhruw Construction Company</t>
  </si>
  <si>
    <t>A doctor in India affiliated/registered with National Medical Commission (NMC) / State Medical Council (SMC) / National Medical Register (NMR) / National Dental Commission / Dental Council of India (DCI) / State Dental Council / National Dental Register (NDR) / National Commission for Indian System of Medicine (NCISM) / State AYUSH or Unani Councils or Boards / National Commission for Homeopathy (NCH) / Central Registry of Homeopathy / State Homeopathy Councils / Veterinary Council of India (VCI) / Healthcare Professionals Registry (HPR) / Ayushman Bharat Digital Mission (ABDM) / Defence Medical Services, ONLY.
Also applicable to Hospitals/Clinics in case buying in the name of Hospital/Clinic</t>
  </si>
  <si>
    <t>CQ - CPSUs (in case of CPSU Name)
C6 - Employees from CPSUs (in case of Employee Name)</t>
  </si>
  <si>
    <t>E-Mobility Industry</t>
  </si>
  <si>
    <t>International Organizations</t>
  </si>
  <si>
    <t>Premium Companies in the field of Leasing of Vehicles</t>
  </si>
  <si>
    <t>Leasing (Premium)</t>
  </si>
  <si>
    <t>Major Companies</t>
  </si>
  <si>
    <t>News Companies</t>
  </si>
  <si>
    <t>Leasing (Focus)</t>
  </si>
  <si>
    <t>Focus Companies in the field of Leasing of Vehicles</t>
  </si>
  <si>
    <t>In Company Name: Purchase Order (PO) on letterhead + Proof of being a Urban Local Body (ULB)</t>
  </si>
  <si>
    <t>Doctor: Document issued in the name of Doctor by a statutory regulator, professional council, healthcare institution, academic body, professional association or government system mentioned in the Eligibility.
Certificates/Memberships which are not valid as on date of purchase shall not be acceptable.
Hospital/Clinic Name: Purchase Order (PO) on Hospital/Clinic letterhead + Proof of being Hospital/Clinic</t>
  </si>
  <si>
    <t>In Company Name: Purchase Order (PO) on company letterhead + Proof of being a member of Bharat Diamond Bourse
In Own Name: ID Card issued by Bharat Diamond Bourse</t>
  </si>
  <si>
    <t>In Company Name: Purchase Order (PO) on letterhead + Proof of being a Legal Firm
In Lawyer Name: State Bar Council Enrollment Certificate OR Bar Council ID Card OR LLB Degree Certificate</t>
  </si>
  <si>
    <t xml:space="preserve">Purchase Order (PO) on company letterhead + GST certificate + Proof of being a Jewellery, Gems, Precious Stones or Diamond Merchants/Dealers </t>
  </si>
  <si>
    <t>For Corporates : Purchase Order (PO) on company letterhead
For LoA/LoI/WO: Letter of Award (LoA) / Letter of Intent (LoI) / Work Order (WO)
For Individuals: PAN Card + Aadhar Card</t>
  </si>
  <si>
    <t>Purchase Order (OI) from CPC/KPKB + Employee ID or Canteen Smart Card
In case of Retired: Service Certificate/ Retirement Letter/ Pension Payment Order/ Pension ID Card</t>
  </si>
  <si>
    <t xml:space="preserve">Purchase Order (PO) on company letterhead + GST certificate + Proof of being E-Commerce Company </t>
  </si>
  <si>
    <t>Purchase Order (PO) on company letterhead + GST certificate + Proof of being a manufacturer or dealer of Agriculture Equipment Manufacturer</t>
  </si>
  <si>
    <t>Applicable for purchases in name of Judges &amp; Courts
Vehicle could be bought in the Name of Judge and/or Court &amp; is not applicable to other employees of Courts OR Relatives, Spouse, Children, Friends of Judges</t>
  </si>
  <si>
    <t>In Court Name: Purchase Order (PO) on letterhead
In Judge Name: Judicial Identity Card (Official ID) issued by Supreme Court or High Court or State Judicial Services or District Court or Govt. Tribunal</t>
  </si>
  <si>
    <t>Pyramid IT Consulting Pvt. Ltd.</t>
  </si>
  <si>
    <t>Provana India Pvt. Ltd.</t>
  </si>
  <si>
    <t>Haleon India Pvt. Ltd.</t>
  </si>
  <si>
    <t>KPMG Assurance and Consulting Services LLP</t>
  </si>
  <si>
    <t>KPMG Global Services Management Pvt. Ltd.</t>
  </si>
  <si>
    <t>KPMG India Services LLP</t>
  </si>
  <si>
    <t>KPMG Advisory Services Pvt. Ltd.</t>
  </si>
  <si>
    <t>KPMG Resource Centre Pvt. Ltd.</t>
  </si>
  <si>
    <t>BBSR &amp; Associates LLP</t>
  </si>
  <si>
    <t>BSR &amp; Associates LLP</t>
  </si>
  <si>
    <t>GMR Group</t>
  </si>
  <si>
    <t>Dedicated Freight Corridor Corporation of India Limited (DFCCIL)</t>
  </si>
  <si>
    <t>Kongu International Trade &amp; Culture Organisation (KITCO)</t>
  </si>
  <si>
    <t>GAIL Gas Ltd.</t>
  </si>
  <si>
    <t>Mahindra &amp; Mahindra Financial Services Ltd. (Quicklyz)</t>
  </si>
  <si>
    <t>BSR &amp; Co LLP</t>
  </si>
  <si>
    <t>BSR &amp; Co</t>
  </si>
  <si>
    <t>Food Corporation of India (FCI)</t>
  </si>
  <si>
    <t>Wapcos Ltd.</t>
  </si>
  <si>
    <t>SJVN Ltd.</t>
  </si>
  <si>
    <t>Central Warehousing Corporation (CWC)</t>
  </si>
  <si>
    <t>Cement Corporation of India Ltd.</t>
  </si>
  <si>
    <t>Broadcast Engineering Consultants India Ltd.</t>
  </si>
  <si>
    <t>Grid Controller of India Ltd. (GCIL)</t>
  </si>
  <si>
    <t>THDC India Ltd.</t>
  </si>
  <si>
    <t>EdCIL India Ltd.</t>
  </si>
  <si>
    <r>
      <t xml:space="preserve">THAR ROXX
</t>
    </r>
    <r>
      <rPr>
        <b/>
        <sz val="10"/>
        <color rgb="FFFF0000"/>
        <rFont val="Aptos"/>
        <family val="2"/>
      </rPr>
      <t>(Not on Star Edition)</t>
    </r>
  </si>
  <si>
    <t xml:space="preserve">In case of purchase in name of Employee
i.	Self-attested copy of Employee ID Card
ii.	Email from employee’s company email ID confirming ongoing status of employment in the company or or Letter from HR of employee not older than 3 months or Salary Slip not older than 3 months
iii.	Attested Service Certificate/ Retirement Letter in case of M&amp;M Group Retired Employees
iv.	Relationship proof document, if purchase is in the name of Spouse/Children
In case of purchase in name of M&amp;M Group Company
i. Purchase Order on company letterhead
ii. Copy of GST certificate
iii. Copy of PAN card
</t>
  </si>
  <si>
    <t>i.	Valid Supplier agreement with M&amp;M (in case using common code of 11248)
ii.	(a) Copy of Employee ID Card or Letter from HR of Employee; AND (b) Email by Employee from official email ID to Dealership or Letter from HR of employee not older than 3 months or Salary Slip not older than 3 months</t>
  </si>
  <si>
    <t>In Company Name: Purchase Order (PO) on company letterhead 
In Employee Name: (a) Copy of Employee ID Card or Letter from HR of Employee; AND (b) Email by Employee from official email ID to Dealership or Letter from HR of employee not older than 3 months or Salary Slip not older than 3 months</t>
  </si>
  <si>
    <t>In Department Name: Purchase Order (PO) on letterhead of Telangana State Govt. Department/Office
In Employee Name: (a) Copy of Employee ID Card or Letter from HR of Employee; AND (b) Email by Employee from official email ID to Dealership or Letter from HR of employee not older than 3 months or Salary Slip not older than 3 months</t>
  </si>
  <si>
    <t>(a) Copy of Employee ID Card or Letter from HR of Employee; AND (b) Email by Employee from official email ID to Dealership or Letter from HR of employee not older than 3 months or Salary Slip not older than 3 months, AND (c) Proof of Employer being Airline</t>
  </si>
  <si>
    <t>In Company Name: Purchase Order (PO) on company letterhead + Proof of being Architect company
In Self Name: Proof of being a practicing Architect</t>
  </si>
  <si>
    <t>For Real Estate segment vendors</t>
  </si>
  <si>
    <t>In Company Name: Purchase Order (PO) on company letterhead 
In Employee Name: (a) Copy of Employee ID Card or Letter from HR of Employee; AND (b) Email by Employee from official email ID to Dealership or Letter from HR of employee not older than 3 months or Salary Slip not older than 3 months, AND (c) Proof of Employer being a Bank</t>
  </si>
  <si>
    <r>
      <t xml:space="preserve">For Central Govt. &amp; State Govt. and its employee's and their spouse/children including Retired Govt. Employees
</t>
    </r>
    <r>
      <rPr>
        <b/>
        <sz val="10"/>
        <color theme="1"/>
        <rFont val="Aptos"/>
        <family val="2"/>
      </rPr>
      <t>Not to be used for purchases under CSD &amp; CPC/KPKB or directly in name of CPSU &amp; CPSU employees, Urban Local Bodies, Govt. Banks, Railways, etc. or by Railway Employees, Govt. Teachers, Govt. Doctors, Govt. CA's, Govt. Company Secretaries, Court Judges and Court Staff, Govt. Advocates (if any), etc. - Use the specific codes for these groups/categories</t>
    </r>
  </si>
  <si>
    <t>Claims w.e.f. 1st June' 2026 to be processed as per new policy</t>
  </si>
  <si>
    <t>In case of any changes in name of code, list of documents required, code number, category, applicable discount, etc. - all old claims of retails prior to 1st June' 2026 to be processed as per old policy.</t>
  </si>
  <si>
    <t>VLE/CSC</t>
  </si>
  <si>
    <t>Federation of Automobile Dealers Association (FADA)</t>
  </si>
  <si>
    <t>Real Estate Vendors</t>
  </si>
  <si>
    <t>Satyam Venture Engineering Services Pvt. Ltd.</t>
  </si>
  <si>
    <t>Tata Power Central Odisha Distribution Ltd. (TPCODL)</t>
  </si>
  <si>
    <t>Tata Power Western Odisha Distribution Ltd. (TPWODL)</t>
  </si>
  <si>
    <t>Tata Power Southern Odisha Distribution Ltd. (TPSODL)</t>
  </si>
  <si>
    <t>Tata Power Northern Odisha Distribution Ltd. (TPNODL)</t>
  </si>
  <si>
    <t>Noida Power Company Ltd. (NPCL)</t>
  </si>
  <si>
    <t>Delhi Jal Board (DJB)</t>
  </si>
  <si>
    <t>Municipal Corporation of Delhi (MCD)</t>
  </si>
  <si>
    <t>Brihanmumbai Municipal Corporation (BMC)</t>
  </si>
  <si>
    <t>Bruhat Bengaluru Mahanagara Palike (BBMP)</t>
  </si>
  <si>
    <t>Greater Chennai Corporation (GCC)</t>
  </si>
  <si>
    <t>Ahmedabad Municipal Corporation (AMC)</t>
  </si>
  <si>
    <t>Pune Municipal Corporation (PMC)</t>
  </si>
  <si>
    <t>Greater Hyderabad Municipal Corporation (GHMC)</t>
  </si>
  <si>
    <t>Surat Municipal Corporation (SMC)</t>
  </si>
  <si>
    <t>Kolkata Municipal Corporation (KMC)</t>
  </si>
  <si>
    <t>Greater Visakhapatnam Municipal Corporation (GVMC)</t>
  </si>
  <si>
    <t>CW - DISCOM</t>
  </si>
  <si>
    <t>Tata Power Company Ltd. - Mumbai</t>
  </si>
  <si>
    <t>Tata Power Delhi Distribution Ltd. (TPDDL)</t>
  </si>
  <si>
    <t>Andhra Pradesh Eastern Power Distribution Company Ltd. (APEPDCL)</t>
  </si>
  <si>
    <t>Andhra Pradesh Central Power Distribution Company Ltd. (APCPDCL)</t>
  </si>
  <si>
    <t>Andhra Pradesh Southern Power Distribution Company Ltd. (APSPDCL)</t>
  </si>
  <si>
    <t>Assam Power Distribution Company Ltd. (APDCL)</t>
  </si>
  <si>
    <t>North Bihar Power Distribution Company Ltd. (NBPDCL)</t>
  </si>
  <si>
    <t>South Bihar Power Distribution Company Ltd. (SBPDCL)</t>
  </si>
  <si>
    <t>Chhattisgarh State Power Distribution Company Ltd. (CSPDCL)</t>
  </si>
  <si>
    <t>Dakshin Gujarat Vij Company Ltd. (DGVCL)</t>
  </si>
  <si>
    <t>Madhya Gujarat Vij Company Ltd. (MGVCL)</t>
  </si>
  <si>
    <t>Paschim Gujarat Vij Company Ltd. (PGVCL)</t>
  </si>
  <si>
    <t>Uttar Gujarat Vij Company Ltd. (UGVCL)</t>
  </si>
  <si>
    <t>Ahmedabad Electricity Co. Ltd. (Torrent Power Ltd.)</t>
  </si>
  <si>
    <t>Surat Electricity Co. Ltd. (Torrent Power Ltd.)</t>
  </si>
  <si>
    <t>Dakshin Haryana Bijli Vitran Nigam (DHBVN)</t>
  </si>
  <si>
    <t>Uttar Haryana Bijli Vitran Nigam (UHBVN)</t>
  </si>
  <si>
    <t>Himachal Pradesh State Electricity Board Ltd. (HPSEBL)</t>
  </si>
  <si>
    <t>Jharkhand Bijli Vitran Nigam Limited (JBVNL)</t>
  </si>
  <si>
    <t>Bengaluru Electricity Supply Company Ltd. (BESCOM)</t>
  </si>
  <si>
    <t>Mangalore Electricity Supply Company Ltd. (MESCOM)</t>
  </si>
  <si>
    <t>Hubli Electricity Supply Company Ltd. (HESCOM)</t>
  </si>
  <si>
    <t>Gulbarga Electricity Supply Company Ltd. (GESCOM)</t>
  </si>
  <si>
    <t>Chamundeshwari Electricity Supply Corporation (CESC)</t>
  </si>
  <si>
    <t>Kerala State Electricity Board Ltd. (KSEBL)</t>
  </si>
  <si>
    <t>Madhya Pradesh Madhya Kshetra Vidyut Vitaran Company Ltd. (MPCZ)</t>
  </si>
  <si>
    <t>Madhya Pradesh Poorv Kshetra Vidyut Vitaran Company Ltd. (MPEZ)</t>
  </si>
  <si>
    <t>Madhya Pradesh Paschim Kshetra Vidyut Vitaran Company Ltd. (MPWZ)</t>
  </si>
  <si>
    <t>BSES (Reliance Energy Ltd.) - Mumbai</t>
  </si>
  <si>
    <t>Manipur State Power Distribution Company Ltd. (MSPDCL)</t>
  </si>
  <si>
    <t>Meghalaya Power Distribution Corporation Ltd. (MePDCL)</t>
  </si>
  <si>
    <t>Punjab State Power Corporation Ltd. (PSPCL)</t>
  </si>
  <si>
    <t>Jaipur Vidyut Vitran Nigam Ltd. (JVVNL)</t>
  </si>
  <si>
    <t>Ajmer Vidyut Vitran Nigam Ltd. (AVVNL)</t>
  </si>
  <si>
    <t>Jodhpur Vidyut Vitran Nigam Ltd. (JDVVNL)</t>
  </si>
  <si>
    <t>Sikkim Power Development Corporation Ltd. (SPDCL)</t>
  </si>
  <si>
    <t>Tamil Nadu Power Distribution Corporation Ltd. (TNPDCL)</t>
  </si>
  <si>
    <t>Telangana Northern Power Distribution Company Ltd. (TNPDCL)</t>
  </si>
  <si>
    <t>Telangana Southern Power Distribution Company Ltd. (TSPDCL)</t>
  </si>
  <si>
    <t>Tripura State Electricity Corporation Ltd. (TSECL)</t>
  </si>
  <si>
    <t>Pashchimanchal Vidyut Vitran Nigam Ltd. (PVVNL)</t>
  </si>
  <si>
    <t>Madhyanchal Vidyut Vitran Nigam Ltd. (MVVNL)</t>
  </si>
  <si>
    <t>Dakshinanchal Vidyut Vitaran Nigam Ltd. (DVVNL)</t>
  </si>
  <si>
    <t>Purvanchal Vidyut Vitran Nigam (PuVVNL)</t>
  </si>
  <si>
    <t>Kanpur Electricity Supply Company (KESCO)</t>
  </si>
  <si>
    <t>Uttarakhand Power Corporation Ltd. (UPCL)</t>
  </si>
  <si>
    <t>Calcutta Electricity Supply Co. (CESC)</t>
  </si>
  <si>
    <t>Chandigarh Power Distribution Ltd. (CPDL)</t>
  </si>
  <si>
    <t>Jammu Power Distribution Corporation Ltd. (JPDCL)</t>
  </si>
  <si>
    <t>Kashmir Power Distribution Corporation Ltd. (KPDCL)</t>
  </si>
  <si>
    <t>Puducherry Power Corporation Ltd. (PPCL)</t>
  </si>
  <si>
    <t>OPC Asset Solutions Pvt. Ltd.</t>
  </si>
  <si>
    <t>Laurus Labs Ltd.</t>
  </si>
  <si>
    <t>CZ - Pharma</t>
  </si>
  <si>
    <t>Anthem Biosciences Ltd.</t>
  </si>
  <si>
    <t>Aye Finance Ltd.</t>
  </si>
  <si>
    <t>SIS Ltd.</t>
  </si>
  <si>
    <t>Compass India Food Services Pvt. Ltd.</t>
  </si>
  <si>
    <t>Compass Group (India) Pvt. Ltd.</t>
  </si>
  <si>
    <t>Satin Creditcare Network Ltd.</t>
  </si>
  <si>
    <t>Kronos Solutions India Pvt. Ltd.</t>
  </si>
  <si>
    <t>Mercer Consulting (India) Pvt. Ltd.</t>
  </si>
  <si>
    <t xml:space="preserve">Reliance Retail Ltd. </t>
  </si>
  <si>
    <t>CY - Hotel</t>
  </si>
  <si>
    <t>Intercontinental Hotels Group (India) Pvt. Ltd.</t>
  </si>
  <si>
    <t>Leela Palaces Hotels &amp; Resorts Ltd.</t>
  </si>
  <si>
    <t>AAPC India Hotel Management Pvt. Ltd.</t>
  </si>
  <si>
    <t>CX - Cement</t>
  </si>
  <si>
    <t>National Council for Cement and Building Materials (NCCBM)</t>
  </si>
  <si>
    <t>Dalmia Cement (North East) Ltd.</t>
  </si>
  <si>
    <t>Amrit Cement Ltd.</t>
  </si>
  <si>
    <t>Anjani Portland Cement Ltd.</t>
  </si>
  <si>
    <t>Century Textiles &amp; Industries Ltd.</t>
  </si>
  <si>
    <t>Deccan Cements Ltd.</t>
  </si>
  <si>
    <t>JSW Cement Ltd.</t>
  </si>
  <si>
    <t>Khyber Industries Pvt. Ltd.</t>
  </si>
  <si>
    <t>Kesoram Industies Ltd.</t>
  </si>
  <si>
    <t>Malabar Cement Ltd.</t>
  </si>
  <si>
    <t>Meghalaya Cements Ltd.</t>
  </si>
  <si>
    <t>My Home Industries Pvt. Ltd.</t>
  </si>
  <si>
    <t>OCL India Ltd.</t>
  </si>
  <si>
    <t>Panna Cement Industries Ltd.</t>
  </si>
  <si>
    <t>RCCPL Pvt. Ltd.</t>
  </si>
  <si>
    <t>Sagar Cements Ltd.</t>
  </si>
  <si>
    <t>Star Cement Ltd.</t>
  </si>
  <si>
    <t>Shree Digvijay Cement Company Ltd.</t>
  </si>
  <si>
    <t>Tamil Nadu Cements Corporation Ltd.</t>
  </si>
  <si>
    <t>Wonder Cement Ltd.</t>
  </si>
  <si>
    <t>Zuari Cement Ltd.</t>
  </si>
  <si>
    <t>Kamdhenu Cement Ltd.</t>
  </si>
  <si>
    <t>Alembic Pharmaceuticals Ltd.</t>
  </si>
  <si>
    <t>South Indian Bank Ltd.</t>
  </si>
  <si>
    <t>India Cements Ltd.</t>
  </si>
  <si>
    <t>JK Cements Ltd.</t>
  </si>
  <si>
    <t>KCP Ltd.</t>
  </si>
  <si>
    <t>NCL Industries Ltd.</t>
  </si>
  <si>
    <t>BIGBLOC Construction Ltd.</t>
  </si>
  <si>
    <t>Andhra Cements Ltd.</t>
  </si>
  <si>
    <t>Shiva Cement Ltd.</t>
  </si>
  <si>
    <t>Shri Keshav Cements &amp; Infra Ltd.</t>
  </si>
  <si>
    <t>Kanoria Energy &amp; Infrastructure Ltd.</t>
  </si>
  <si>
    <t>Gland Pharma Ltd.</t>
  </si>
  <si>
    <t>Ajanta Pharma Ltd.</t>
  </si>
  <si>
    <t>Acutaas Chemicals Ltd.</t>
  </si>
  <si>
    <t>Sai Life Sciences Ltd.</t>
  </si>
  <si>
    <t>Piramal Pharma Ltd.</t>
  </si>
  <si>
    <t>OneSource Speciality Pharma Ltd.</t>
  </si>
  <si>
    <t>ERIS Lifesciences Ltd.</t>
  </si>
  <si>
    <t>Granules India Ltd.</t>
  </si>
  <si>
    <t>Natco Pharma Ltd.</t>
  </si>
  <si>
    <t>Rubicon Research Ltd.</t>
  </si>
  <si>
    <t>Cohance Lifesciences Ltd.</t>
  </si>
  <si>
    <t>Caplin Point Laboratories Ltd.</t>
  </si>
  <si>
    <t>Alivus Life Sciences Ltd.</t>
  </si>
  <si>
    <t>Viyash Scientific Ltd.</t>
  </si>
  <si>
    <t>Marksans Pharma Ltd.</t>
  </si>
  <si>
    <t>Concord Biotech Ltd.</t>
  </si>
  <si>
    <t>Sanofi Consumer Healthcare India Ltd.</t>
  </si>
  <si>
    <t>Corona Remedies Ltd.</t>
  </si>
  <si>
    <t>Procter &amp; Gamble Health Ltd.</t>
  </si>
  <si>
    <t>Shilpa Medicare Ltd.</t>
  </si>
  <si>
    <t>Sudeep Pharma Ltd.</t>
  </si>
  <si>
    <t>Akums Drugs &amp; Pharmaceuticals Ltd.</t>
  </si>
  <si>
    <t>Supriya Lifescience Ltd.</t>
  </si>
  <si>
    <t>Blue Jet Healthcare Ltd.</t>
  </si>
  <si>
    <t>Jeena Sikho Lifecare Ltd.</t>
  </si>
  <si>
    <t>Sun Pharma Advanced Research Company Ltd.</t>
  </si>
  <si>
    <t>Aarti Pharmalabs Ltd.</t>
  </si>
  <si>
    <t>Senores Pharmaceuticals Ltd.</t>
  </si>
  <si>
    <t>Innova Captab Ltd.</t>
  </si>
  <si>
    <t>Bliss GVS Pharma Ltd.</t>
  </si>
  <si>
    <t>Gujarat Themis Biosyn Ltd.</t>
  </si>
  <si>
    <t>Advanced Enzyme Technologies Ltd.</t>
  </si>
  <si>
    <t>Zota Health Care Ltd.</t>
  </si>
  <si>
    <t>IOL Chemicals &amp; Pharmaceuticals Ltd.</t>
  </si>
  <si>
    <t>RPG Life Sciences Ltd.</t>
  </si>
  <si>
    <t>Aarti Drugs Ltd.</t>
  </si>
  <si>
    <t>SMS Pharmaceuticals Ltd.</t>
  </si>
  <si>
    <t>Gufic BioSciences Ltd.</t>
  </si>
  <si>
    <t>Solara Active Pharma Sciences Ltd.</t>
  </si>
  <si>
    <t>Panacea Biotec Ltd.</t>
  </si>
  <si>
    <t>Hikal Ltd.</t>
  </si>
  <si>
    <t>Kwality Pharmaceuticals Ltd.</t>
  </si>
  <si>
    <t>Narayana Hrudayalaya Ltd.</t>
  </si>
  <si>
    <t>Aster DM Healthcare Ltd.</t>
  </si>
  <si>
    <t>Krishna Institute of Medical Sciences Ltd.</t>
  </si>
  <si>
    <t>Dr Agarwals Health Care Ltd.</t>
  </si>
  <si>
    <t>Rainbow Childrens Medicare Ltd.</t>
  </si>
  <si>
    <t>Park Medi World Ltd.</t>
  </si>
  <si>
    <t>Healthcare Global Enterprises Ltd.</t>
  </si>
  <si>
    <t>Jupiter Life Line Hospitals Ltd.</t>
  </si>
  <si>
    <t>Yatharth Hospital &amp; Trauma Care Services Ltd.</t>
  </si>
  <si>
    <t>Artemis Medicare Services Ltd.</t>
  </si>
  <si>
    <t>C0 - Hospital</t>
  </si>
  <si>
    <t>Premium Hospitals</t>
  </si>
  <si>
    <t>Major Hospitals (List attached)</t>
  </si>
  <si>
    <t>Premium Airlines</t>
  </si>
  <si>
    <t>Major Airlines (List attached)</t>
  </si>
  <si>
    <t>Premium DISCOMs</t>
  </si>
  <si>
    <t>Major Electricity Distribution Companies (List attached)</t>
  </si>
  <si>
    <t>Premium Cement Companies</t>
  </si>
  <si>
    <t>Premium Hotels</t>
  </si>
  <si>
    <t>Premium Pharma Companies</t>
  </si>
  <si>
    <t>Focus Hospitals</t>
  </si>
  <si>
    <t>Focus Hospitals (List attached)</t>
  </si>
  <si>
    <t>IIIC Members</t>
  </si>
  <si>
    <t>Members of IIIC</t>
  </si>
  <si>
    <t>Focus Airlines</t>
  </si>
  <si>
    <t>Focus DISCOMs</t>
  </si>
  <si>
    <t>Focus Hotels</t>
  </si>
  <si>
    <t>Focus Pharma Companies</t>
  </si>
  <si>
    <t>Focus Airlines (List attached)</t>
  </si>
  <si>
    <t>Focus Electricity Distribution Companies (List attached)</t>
  </si>
  <si>
    <t>AUMOVIO AUTONOMOUS MOBILITY INDIA PRIVATE LIMITED</t>
  </si>
  <si>
    <t>VANAM INDIA FOUNDATION</t>
  </si>
  <si>
    <t>Watchguard Technologies India</t>
  </si>
  <si>
    <t>Allied HTI Pvt. Ltd</t>
  </si>
  <si>
    <t>For the above Corporate billing under point no.1 &amp; 2 above, required Category tagging must be done, however, benefits are not to be passed. In case system shows any benefit at the time of retail, no discount to be selected or suitable ticket to be raised.</t>
  </si>
  <si>
    <t>In case a listed Company buys in Bulk, they shall be eligible for Bulk benefit or Category benefit, whichever is higher.</t>
  </si>
  <si>
    <t>The benefit on bulk purchase is available on vehicles purchased against Single purchase order only - Please note "No batching of Purchase orders together". Any deviation in this regard needs to be approved by Head (Corporate Sales).</t>
  </si>
  <si>
    <t>Exclusions</t>
  </si>
  <si>
    <t xml:space="preserve">Special approvals if any need to be taken prior to retail date and to be attached with the claim. Deviations needs to be approved by Head (Corporate Sales). </t>
  </si>
  <si>
    <t>Mahindra &amp; Mahindra Ltd. reserves all the rights to withdraw the benefits on a particular model/variant/category or all models / variants / categories for a particular month or any period, which will be communicated time to time as Management Decision.</t>
  </si>
  <si>
    <t>LS Order (PO) from CSD + Employee ID or Canteen Smart Card
In case of Retired: Service Certificate/ Retirement Letter/ Pension Payment Order/ Pension ID Card</t>
  </si>
  <si>
    <t>Personal Range of Vehicles</t>
  </si>
  <si>
    <t>Commercial Range of Vehicles</t>
  </si>
  <si>
    <t>Corporate &amp; Loyalty benefit cannot be clubbed together</t>
  </si>
  <si>
    <t>Wherever there is no Discount/Claim but Sale is to a Corporate/ or Corporate Employee which is Listed in the policy (especially in Category Z, Y &amp; F), tagging to such Code is mandatory and list of documents required also to be sought from customer &amp; uploaded.</t>
  </si>
  <si>
    <t>ESL Steel Limited</t>
  </si>
  <si>
    <t>12070</t>
  </si>
  <si>
    <t>OneSource Specialty Pharma Ltd</t>
  </si>
  <si>
    <t>12071</t>
  </si>
  <si>
    <t>12072</t>
  </si>
  <si>
    <t>Satkartar Tour N Travels</t>
  </si>
  <si>
    <t>In Company Name: Purchase Order (PO) on company letterhead + Proof of being a School/College/University/Coaching Class
In Teacher Name: Proof of being a practicing Teacher: Teacher's ID Card issued by School/Institute OR  Letter issued by Admin or HR of the School/Institute</t>
  </si>
  <si>
    <r>
      <t xml:space="preserve">SCORPIO-N 
</t>
    </r>
    <r>
      <rPr>
        <b/>
        <sz val="10"/>
        <color rgb="FF7030A0"/>
        <rFont val="Aptos"/>
        <family val="2"/>
      </rPr>
      <t>(Including Refresh Variants)</t>
    </r>
  </si>
  <si>
    <t>Salary Account Holders of Select Banks</t>
  </si>
  <si>
    <t>QualityKiosk Technologies Pvt. Ltd.</t>
  </si>
  <si>
    <t xml:space="preserve"> Australia and New Zealand Banking Group Limited</t>
  </si>
  <si>
    <t>Salary A/c at HDFC/ICICI/AXIS/KOTAK/KOTAK PRIME</t>
  </si>
  <si>
    <t>Vertis Infrastructure Trust</t>
  </si>
  <si>
    <t>Kajaria Tiles Distributor</t>
  </si>
  <si>
    <t>NBCC (India) Limited Distributor</t>
  </si>
  <si>
    <t>CORPORATE PRIVILEGE POLICY
From 3rd Sept' 26 - 30th Sept' 26</t>
  </si>
  <si>
    <t>Money Mentors Rewards
(CA/Cost Accountants/CS/CFA)</t>
  </si>
  <si>
    <t>Purchase Order (PO) on company letterhead + Liquor licence issued by State Govt. as proof
Purchase in Personal name: Liquor Licence+Proprietorship Certificate/Certificate of Incorporation of firm/company  to proof ownership/partnership in the firm/company in who's name the Liquor licence is being provided</t>
  </si>
  <si>
    <t>In Company Name: Purchase Order (PO) on company letterhead + Proof of being a Tours &amp; Travel operator
Purchase in Personal name:Proof of being a Tours &amp; Travel Operator+Proprietorship Certificate/Certificate of Incorporation of firm/company  to proof ownership/partnership in the firm/company in who's name the Proof of Tours &amp; Travel Operator is being provided</t>
  </si>
  <si>
    <t>In Company Name: Purchase Order (PO) on company letterhead + Proof of being a CA/Cost Accountant/CS Firm
In Personal Name: Valid certificate in Self name from The Institute of Chartered Accountants of India (ICAI) OR The Institute of Cost Accountants of India (ICWA) OR The Institute of Company Secretaries of India (ICSI) OR Indian Institute of Insolvency Professionals of ICAI (IIIPI) OR CFA Society India</t>
  </si>
  <si>
    <t>In Govt. Name: Purchase Order (PO) on letter-head + GST certificate + Proof of being Govt.
In Employee Name: (a) Copy of Employee ID Card or Letter from HR of Employee; AND (b) Email by Employee from official email ID to Dealership or Letter from HR of employee not older than 3 months or Salary Slip not older than 3 months, AND (c) Proof of Employer being Govt.
In case of Spouse/Child of Govt. Employee: Above + Any one relationship certificate of Spouse e.g. Marriage certificate, Passport, Aadhar, Voter's Id etc mentioning spouse name. In case of Child: Any Govt Doc proving relationship: Birth Certificate/PAN/Adhar etc.
In case of Retired Govt. Employee: Above + Service Certificate / Retirement Letter/ Pension Payment Order/ Pension ID Card</t>
  </si>
  <si>
    <t xml:space="preserve">Purchase Order (PO) on company letterhead + GST certificate + Proof of being a Govt. Contractor
Purchase in Personal name: Proof of being a Govt. Contractor+Proprietorship Certificate/Certificate of Incorporation of firm/company  to proof ownership/partnership in the firm/company in who's name the proof of being a Govt. contractor is provided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</si>
</sst>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 #,##0"/>
    <numFmt numFmtId="166" formatCode="&quot;₹&quot;\ #,##0.00"/>
  </numFmts>
  <fonts count="25" x14ac:knownFonts="1">
    <font>
      <sz val="11"/>
      <color theme="1"/>
      <name val="Calibri"/>
      <family val="2"/>
      <scheme val="minor"/>
    </font>
    <font>
      <sz val="11"/>
      <color theme="1"/>
      <name val="Calibri"/>
      <family val="2"/>
      <scheme val="minor"/>
    </font>
    <font>
      <u/>
      <sz val="11"/>
      <color theme="10"/>
      <name val="Calibri"/>
      <family val="2"/>
    </font>
    <font>
      <u/>
      <sz val="12"/>
      <color theme="10"/>
      <name val="Times New Roman"/>
      <family val="2"/>
    </font>
    <font>
      <sz val="10"/>
      <name val="Arial"/>
      <family val="2"/>
    </font>
    <font>
      <sz val="10"/>
      <color indexed="8"/>
      <name val="Arial"/>
      <family val="2"/>
    </font>
    <font>
      <sz val="10"/>
      <name val="Aptos"/>
      <family val="2"/>
    </font>
    <font>
      <b/>
      <sz val="12"/>
      <color theme="1"/>
      <name val="Aptos"/>
      <family val="2"/>
    </font>
    <font>
      <b/>
      <sz val="10"/>
      <color theme="1"/>
      <name val="Aptos"/>
      <family val="2"/>
    </font>
    <font>
      <sz val="10"/>
      <color theme="1"/>
      <name val="Aptos"/>
      <family val="2"/>
    </font>
    <font>
      <b/>
      <sz val="10"/>
      <color rgb="FF000000"/>
      <name val="Aptos"/>
      <family val="2"/>
    </font>
    <font>
      <sz val="10"/>
      <color rgb="FF000000"/>
      <name val="Aptos"/>
      <family val="2"/>
    </font>
    <font>
      <b/>
      <sz val="10"/>
      <color indexed="8"/>
      <name val="Aptos"/>
      <family val="2"/>
    </font>
    <font>
      <b/>
      <sz val="10"/>
      <name val="Aptos"/>
      <family val="2"/>
    </font>
    <font>
      <b/>
      <sz val="16"/>
      <color indexed="8"/>
      <name val="Aptos"/>
      <family val="2"/>
    </font>
    <font>
      <b/>
      <sz val="14"/>
      <color indexed="8"/>
      <name val="Aptos"/>
      <family val="2"/>
    </font>
    <font>
      <sz val="10"/>
      <color indexed="8"/>
      <name val="Aptos"/>
      <family val="2"/>
    </font>
    <font>
      <sz val="8"/>
      <name val="Calibri"/>
      <family val="2"/>
      <scheme val="minor"/>
    </font>
    <font>
      <sz val="11"/>
      <name val="Aptos Narrow"/>
      <family val="2"/>
    </font>
    <font>
      <b/>
      <sz val="10"/>
      <color rgb="FFFF0000"/>
      <name val="Aptos"/>
      <family val="2"/>
    </font>
    <font>
      <sz val="11"/>
      <color theme="1"/>
      <name val="Aptos"/>
      <family val="2"/>
    </font>
    <font>
      <b/>
      <sz val="11"/>
      <color theme="1"/>
      <name val="Aptos"/>
      <family val="2"/>
    </font>
    <font>
      <b/>
      <sz val="11"/>
      <color theme="1"/>
      <name val="Calibri"/>
      <family val="2"/>
      <scheme val="minor"/>
    </font>
    <font>
      <sz val="10"/>
      <color rgb="FF0A0A0A"/>
      <name val="Aptos"/>
      <family val="2"/>
    </font>
    <font>
      <b/>
      <sz val="10"/>
      <color rgb="FF7030A0"/>
      <name val="Aptos"/>
      <family val="2"/>
    </font>
  </fonts>
  <fills count="2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indexed="13"/>
        <bgColor indexed="64"/>
      </patternFill>
    </fill>
    <fill>
      <patternFill patternType="solid">
        <fgColor rgb="FFFFFFFF"/>
        <bgColor indexed="64"/>
      </patternFill>
    </fill>
    <fill>
      <patternFill patternType="solid">
        <fgColor theme="5" tint="0.59999389629810485"/>
        <bgColor indexed="64"/>
      </patternFill>
    </fill>
    <fill>
      <patternFill patternType="solid">
        <fgColor theme="7"/>
        <bgColor indexed="64"/>
      </patternFill>
    </fill>
    <fill>
      <patternFill patternType="solid">
        <fgColor rgb="FF92D050"/>
        <bgColor indexed="64"/>
      </patternFill>
    </fill>
    <fill>
      <patternFill patternType="solid">
        <fgColor rgb="FFFFC000"/>
        <bgColor indexed="64"/>
      </patternFill>
    </fill>
    <fill>
      <patternFill patternType="solid">
        <fgColor rgb="FFFF66CC"/>
        <bgColor indexed="64"/>
      </patternFill>
    </fill>
    <fill>
      <patternFill patternType="solid">
        <fgColor theme="0" tint="-0.14999847407452621"/>
        <bgColor indexed="64"/>
      </patternFill>
    </fill>
    <fill>
      <patternFill patternType="solid">
        <fgColor theme="4"/>
        <bgColor indexed="64"/>
      </patternFill>
    </fill>
    <fill>
      <patternFill patternType="solid">
        <fgColor rgb="FFFF671F"/>
        <bgColor indexed="64"/>
      </patternFill>
    </fill>
    <fill>
      <patternFill patternType="solid">
        <fgColor rgb="FF046A38"/>
        <bgColor indexed="64"/>
      </patternFill>
    </fill>
    <fill>
      <patternFill patternType="solid">
        <fgColor rgb="FFFF66FF"/>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0"/>
      </left>
      <right style="thin">
        <color indexed="0"/>
      </right>
      <top style="thin">
        <color indexed="0"/>
      </top>
      <bottom style="thin">
        <color indexed="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1" fillId="0" borderId="0"/>
    <xf numFmtId="0" fontId="4" fillId="0" borderId="0"/>
    <xf numFmtId="164" fontId="4" fillId="0" borderId="0" applyFont="0" applyFill="0" applyBorder="0" applyAlignment="0" applyProtection="0"/>
    <xf numFmtId="0" fontId="4" fillId="0" borderId="0"/>
    <xf numFmtId="0" fontId="5" fillId="0" borderId="0"/>
    <xf numFmtId="0" fontId="18" fillId="0" borderId="0"/>
    <xf numFmtId="0" fontId="5" fillId="0" borderId="17" applyBorder="0"/>
  </cellStyleXfs>
  <cellXfs count="186">
    <xf numFmtId="0" fontId="0" fillId="0" borderId="0" xfId="0"/>
    <xf numFmtId="0" fontId="6" fillId="0" borderId="0" xfId="4" applyFont="1"/>
    <xf numFmtId="0" fontId="6" fillId="0" borderId="0" xfId="4" applyFont="1" applyAlignment="1">
      <alignment horizontal="center"/>
    </xf>
    <xf numFmtId="0" fontId="6" fillId="0" borderId="0" xfId="4" applyFont="1" applyAlignment="1">
      <alignment vertical="center"/>
    </xf>
    <xf numFmtId="0" fontId="6" fillId="0" borderId="0" xfId="4" applyFont="1" applyAlignment="1">
      <alignment wrapText="1"/>
    </xf>
    <xf numFmtId="0" fontId="9" fillId="0" borderId="0" xfId="0" applyFont="1"/>
    <xf numFmtId="0" fontId="8" fillId="9" borderId="1" xfId="3" applyFont="1" applyFill="1" applyBorder="1" applyAlignment="1">
      <alignment horizontal="center" vertical="center" wrapText="1"/>
    </xf>
    <xf numFmtId="0" fontId="9" fillId="3" borderId="1" xfId="3" applyFont="1" applyFill="1" applyBorder="1" applyAlignment="1">
      <alignment horizontal="left" vertical="center" wrapText="1"/>
    </xf>
    <xf numFmtId="0" fontId="9" fillId="0" borderId="1" xfId="0" applyFont="1" applyBorder="1" applyAlignment="1">
      <alignment horizontal="center" vertical="center" wrapText="1" readingOrder="1"/>
    </xf>
    <xf numFmtId="0" fontId="9" fillId="0" borderId="1" xfId="0" applyFont="1" applyBorder="1" applyAlignment="1">
      <alignment horizontal="left" vertical="center" wrapText="1"/>
    </xf>
    <xf numFmtId="0" fontId="8" fillId="11" borderId="1" xfId="3" applyFont="1" applyFill="1" applyBorder="1" applyAlignment="1">
      <alignment horizontal="center" vertical="center" wrapText="1"/>
    </xf>
    <xf numFmtId="0" fontId="9" fillId="0" borderId="1" xfId="3" applyFont="1" applyBorder="1" applyAlignment="1">
      <alignment horizontal="left" vertical="center" wrapText="1"/>
    </xf>
    <xf numFmtId="0" fontId="8" fillId="7" borderId="1" xfId="3" applyFont="1" applyFill="1" applyBorder="1" applyAlignment="1">
      <alignment horizontal="center" vertical="center" wrapText="1"/>
    </xf>
    <xf numFmtId="0" fontId="10" fillId="7" borderId="1" xfId="0" applyFont="1" applyFill="1" applyBorder="1" applyAlignment="1">
      <alignment horizontal="center" vertical="center" wrapText="1"/>
    </xf>
    <xf numFmtId="0" fontId="8" fillId="4" borderId="1" xfId="3" applyFont="1" applyFill="1" applyBorder="1" applyAlignment="1">
      <alignment horizontal="center" vertical="center" wrapText="1"/>
    </xf>
    <xf numFmtId="0" fontId="8" fillId="8" borderId="1" xfId="3"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9" fillId="0" borderId="1" xfId="3" applyFont="1" applyBorder="1" applyAlignment="1">
      <alignment horizontal="center" vertical="center" wrapText="1"/>
    </xf>
    <xf numFmtId="0" fontId="9" fillId="0" borderId="0" xfId="0" applyFont="1" applyAlignment="1">
      <alignment horizontal="left"/>
    </xf>
    <xf numFmtId="165" fontId="13" fillId="3" borderId="1" xfId="4" applyNumberFormat="1" applyFont="1" applyFill="1" applyBorder="1" applyAlignment="1">
      <alignment horizontal="right" vertical="center"/>
    </xf>
    <xf numFmtId="165" fontId="13" fillId="0" borderId="1" xfId="4" applyNumberFormat="1" applyFont="1" applyBorder="1" applyAlignment="1">
      <alignment horizontal="right" vertical="center"/>
    </xf>
    <xf numFmtId="0" fontId="12" fillId="7" borderId="1" xfId="4" applyFont="1" applyFill="1" applyBorder="1" applyAlignment="1">
      <alignment horizontal="center"/>
    </xf>
    <xf numFmtId="165" fontId="12" fillId="0" borderId="1" xfId="4" applyNumberFormat="1" applyFont="1" applyBorder="1" applyAlignment="1">
      <alignment horizontal="right" vertical="center"/>
    </xf>
    <xf numFmtId="0" fontId="6" fillId="0" borderId="0" xfId="4" applyFont="1" applyAlignment="1">
      <alignment horizontal="left" wrapText="1"/>
    </xf>
    <xf numFmtId="0" fontId="16" fillId="0" borderId="0" xfId="0" applyFont="1" applyAlignment="1">
      <alignment horizontal="center" vertical="center" wrapText="1"/>
    </xf>
    <xf numFmtId="0" fontId="5" fillId="0" borderId="1" xfId="0" applyFont="1" applyBorder="1" applyAlignment="1">
      <alignment horizontal="center" vertical="center" wrapText="1"/>
    </xf>
    <xf numFmtId="0" fontId="9" fillId="4" borderId="0" xfId="0" applyFont="1" applyFill="1" applyAlignment="1">
      <alignment vertical="center" wrapText="1"/>
    </xf>
    <xf numFmtId="0" fontId="9" fillId="0" borderId="0" xfId="0" applyFont="1" applyAlignment="1">
      <alignment vertical="center" wrapText="1"/>
    </xf>
    <xf numFmtId="0" fontId="9" fillId="4" borderId="0" xfId="0" applyFont="1" applyFill="1" applyAlignment="1">
      <alignment horizontal="center" vertical="center" wrapText="1"/>
    </xf>
    <xf numFmtId="0" fontId="8" fillId="4"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quotePrefix="1" applyFont="1" applyAlignment="1">
      <alignment horizontal="center" vertical="center" wrapText="1"/>
    </xf>
    <xf numFmtId="0" fontId="9" fillId="0" borderId="0" xfId="0" applyFont="1" applyAlignment="1">
      <alignment horizontal="left" vertical="center" wrapText="1"/>
    </xf>
    <xf numFmtId="0" fontId="13" fillId="13" borderId="1" xfId="4" applyFont="1" applyFill="1" applyBorder="1" applyAlignment="1">
      <alignment horizontal="center" vertical="center"/>
    </xf>
    <xf numFmtId="0" fontId="6" fillId="0" borderId="1" xfId="4" applyFont="1" applyBorder="1" applyAlignment="1">
      <alignment horizontal="center" vertical="center" wrapText="1"/>
    </xf>
    <xf numFmtId="0" fontId="9" fillId="0" borderId="1" xfId="0" applyFont="1" applyBorder="1" applyAlignment="1">
      <alignment horizontal="right"/>
    </xf>
    <xf numFmtId="0" fontId="9" fillId="0" borderId="5" xfId="0" applyFont="1" applyBorder="1" applyAlignment="1">
      <alignment horizontal="center" vertical="center" wrapText="1" readingOrder="1"/>
    </xf>
    <xf numFmtId="0" fontId="9" fillId="0" borderId="5" xfId="0" applyFont="1" applyBorder="1" applyAlignment="1">
      <alignment horizontal="center" vertical="center" wrapText="1"/>
    </xf>
    <xf numFmtId="0" fontId="8" fillId="9" borderId="15"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8" fillId="9"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20" fillId="0" borderId="0" xfId="0" applyFont="1"/>
    <xf numFmtId="0" fontId="21" fillId="0" borderId="0" xfId="0" applyFont="1"/>
    <xf numFmtId="0" fontId="0" fillId="0" borderId="1" xfId="0" applyBorder="1"/>
    <xf numFmtId="0" fontId="22" fillId="19" borderId="1" xfId="0" applyFont="1" applyFill="1" applyBorder="1" applyAlignment="1">
      <alignment horizontal="center"/>
    </xf>
    <xf numFmtId="0" fontId="0" fillId="0" borderId="1" xfId="0" applyBorder="1" applyAlignment="1">
      <alignment horizontal="center" vertical="center"/>
    </xf>
    <xf numFmtId="0" fontId="22" fillId="19"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16" fillId="17" borderId="5" xfId="0" applyFont="1" applyFill="1" applyBorder="1" applyAlignment="1">
      <alignment vertical="center" wrapText="1"/>
    </xf>
    <xf numFmtId="0" fontId="16" fillId="0" borderId="5"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17" borderId="1" xfId="0" applyFont="1" applyFill="1" applyBorder="1" applyAlignment="1">
      <alignment vertical="center" wrapText="1"/>
    </xf>
    <xf numFmtId="0" fontId="16" fillId="0" borderId="5" xfId="0" applyFont="1" applyBorder="1" applyAlignment="1">
      <alignment horizontal="center" vertical="center" wrapText="1"/>
    </xf>
    <xf numFmtId="0" fontId="9"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6" fillId="0" borderId="1" xfId="4" applyFont="1" applyBorder="1" applyAlignment="1">
      <alignment vertical="center"/>
    </xf>
    <xf numFmtId="165" fontId="6" fillId="0" borderId="1" xfId="4" applyNumberFormat="1" applyFont="1" applyBorder="1" applyAlignment="1">
      <alignment horizontal="right" vertical="center"/>
    </xf>
    <xf numFmtId="0" fontId="6" fillId="0" borderId="1" xfId="4" applyFont="1" applyBorder="1" applyAlignment="1">
      <alignment vertical="center" wrapText="1"/>
    </xf>
    <xf numFmtId="0" fontId="6" fillId="0" borderId="1" xfId="4" applyFont="1" applyBorder="1"/>
    <xf numFmtId="0" fontId="6" fillId="0" borderId="1" xfId="4" applyFont="1" applyBorder="1" applyAlignment="1">
      <alignment horizontal="center"/>
    </xf>
    <xf numFmtId="166" fontId="6" fillId="0" borderId="1" xfId="4" applyNumberFormat="1" applyFont="1" applyBorder="1" applyAlignment="1">
      <alignment horizontal="center"/>
    </xf>
    <xf numFmtId="0" fontId="9" fillId="0" borderId="1" xfId="0" applyFont="1" applyBorder="1" applyAlignment="1">
      <alignment horizontal="right" vertical="center" wrapText="1"/>
    </xf>
    <xf numFmtId="0" fontId="9" fillId="20" borderId="1" xfId="0" applyFont="1" applyFill="1" applyBorder="1" applyAlignment="1">
      <alignment vertical="center" wrapText="1"/>
    </xf>
    <xf numFmtId="0" fontId="6" fillId="0" borderId="1" xfId="0" applyFont="1" applyBorder="1" applyAlignment="1">
      <alignment vertical="center" wrapText="1"/>
    </xf>
    <xf numFmtId="0" fontId="5" fillId="0" borderId="1" xfId="0" applyFont="1" applyBorder="1"/>
    <xf numFmtId="0" fontId="23" fillId="0" borderId="1" xfId="0" applyFont="1" applyBorder="1"/>
    <xf numFmtId="0" fontId="9" fillId="0" borderId="1" xfId="0" applyFont="1" applyBorder="1" applyAlignment="1">
      <alignment vertical="center" wrapText="1"/>
    </xf>
    <xf numFmtId="0" fontId="16" fillId="21" borderId="1" xfId="0" applyFont="1" applyFill="1" applyBorder="1" applyAlignment="1">
      <alignment horizontal="center" vertical="center" wrapText="1"/>
    </xf>
    <xf numFmtId="0" fontId="16" fillId="21" borderId="1" xfId="0" applyFont="1" applyFill="1" applyBorder="1" applyAlignment="1">
      <alignment vertical="center" wrapText="1"/>
    </xf>
    <xf numFmtId="0" fontId="9" fillId="21" borderId="0" xfId="0" applyFont="1" applyFill="1" applyAlignment="1">
      <alignment vertical="center" wrapText="1"/>
    </xf>
    <xf numFmtId="0" fontId="9" fillId="21" borderId="1" xfId="0" applyFont="1" applyFill="1" applyBorder="1" applyAlignment="1">
      <alignment vertical="center" wrapText="1"/>
    </xf>
    <xf numFmtId="0" fontId="8" fillId="16" borderId="19" xfId="0" applyFont="1" applyFill="1" applyBorder="1" applyAlignment="1">
      <alignment horizontal="center" vertical="center" wrapText="1"/>
    </xf>
    <xf numFmtId="0" fontId="8" fillId="16" borderId="20" xfId="0" applyFont="1" applyFill="1" applyBorder="1" applyAlignment="1">
      <alignment horizontal="center" vertical="center" wrapText="1"/>
    </xf>
    <xf numFmtId="0" fontId="8" fillId="0" borderId="21" xfId="3" applyFont="1" applyBorder="1" applyAlignment="1">
      <alignment horizontal="center" vertical="center" wrapText="1"/>
    </xf>
    <xf numFmtId="0" fontId="9" fillId="0" borderId="22" xfId="3" applyFont="1" applyBorder="1" applyAlignment="1">
      <alignment horizontal="left" vertical="center" wrapText="1"/>
    </xf>
    <xf numFmtId="0" fontId="8" fillId="0" borderId="22" xfId="3" applyFont="1" applyBorder="1" applyAlignment="1">
      <alignment horizontal="center" vertical="center" wrapText="1"/>
    </xf>
    <xf numFmtId="0" fontId="9" fillId="0" borderId="22" xfId="3" applyFont="1" applyBorder="1" applyAlignment="1">
      <alignment horizontal="center" vertical="center"/>
    </xf>
    <xf numFmtId="0" fontId="9" fillId="0" borderId="23" xfId="3" applyFont="1" applyBorder="1" applyAlignment="1">
      <alignment horizontal="center" vertical="center"/>
    </xf>
    <xf numFmtId="0" fontId="8" fillId="0" borderId="24" xfId="3" applyFont="1" applyBorder="1" applyAlignment="1">
      <alignment horizontal="center" vertical="center" wrapText="1"/>
    </xf>
    <xf numFmtId="0" fontId="9" fillId="0" borderId="25" xfId="3" applyFont="1" applyBorder="1" applyAlignment="1">
      <alignment horizontal="left" vertical="center" wrapText="1"/>
    </xf>
    <xf numFmtId="0" fontId="8" fillId="0" borderId="25" xfId="3" applyFont="1" applyBorder="1" applyAlignment="1">
      <alignment horizontal="center" vertical="center" wrapText="1"/>
    </xf>
    <xf numFmtId="0" fontId="9" fillId="0" borderId="25" xfId="3" applyFont="1" applyBorder="1" applyAlignment="1">
      <alignment horizontal="center" vertical="center"/>
    </xf>
    <xf numFmtId="0" fontId="9" fillId="0" borderId="26" xfId="3" applyFont="1" applyBorder="1" applyAlignment="1">
      <alignment horizontal="center" vertical="center"/>
    </xf>
    <xf numFmtId="0" fontId="7" fillId="2" borderId="21" xfId="3" applyFont="1" applyFill="1" applyBorder="1" applyAlignment="1">
      <alignment horizontal="center" vertical="center" wrapText="1"/>
    </xf>
    <xf numFmtId="0" fontId="7" fillId="2" borderId="22" xfId="3" applyFont="1" applyFill="1" applyBorder="1" applyAlignment="1">
      <alignment horizontal="center" vertical="center" wrapText="1"/>
    </xf>
    <xf numFmtId="0" fontId="7" fillId="2" borderId="23" xfId="3" applyFont="1" applyFill="1" applyBorder="1" applyAlignment="1">
      <alignment horizontal="center" vertical="center" wrapText="1"/>
    </xf>
    <xf numFmtId="0" fontId="8" fillId="9" borderId="27" xfId="3" applyFont="1" applyFill="1" applyBorder="1" applyAlignment="1">
      <alignment horizontal="center" vertical="center" wrapText="1"/>
    </xf>
    <xf numFmtId="0" fontId="9" fillId="0" borderId="28" xfId="3" applyFont="1" applyBorder="1" applyAlignment="1">
      <alignment horizontal="center" vertical="center" wrapText="1"/>
    </xf>
    <xf numFmtId="0" fontId="9" fillId="0" borderId="28" xfId="0" applyFont="1" applyBorder="1" applyAlignment="1">
      <alignment horizontal="center" vertical="center" wrapText="1" readingOrder="1"/>
    </xf>
    <xf numFmtId="0" fontId="8" fillId="9" borderId="24" xfId="3" applyFont="1" applyFill="1" applyBorder="1" applyAlignment="1">
      <alignment horizontal="center" vertical="center" wrapText="1"/>
    </xf>
    <xf numFmtId="0" fontId="9" fillId="0" borderId="25" xfId="0" applyFont="1" applyBorder="1" applyAlignment="1">
      <alignment horizontal="left" vertical="center" wrapText="1"/>
    </xf>
    <xf numFmtId="0" fontId="8" fillId="9" borderId="25" xfId="3" applyFont="1" applyFill="1" applyBorder="1" applyAlignment="1">
      <alignment horizontal="center" vertical="center" wrapText="1"/>
    </xf>
    <xf numFmtId="0" fontId="9" fillId="0" borderId="25" xfId="0" applyFont="1" applyBorder="1" applyAlignment="1">
      <alignment horizontal="center" vertical="center" wrapText="1" readingOrder="1"/>
    </xf>
    <xf numFmtId="0" fontId="9" fillId="0" borderId="26" xfId="0" applyFont="1" applyBorder="1" applyAlignment="1">
      <alignment horizontal="center" vertical="center" wrapText="1" readingOrder="1"/>
    </xf>
    <xf numFmtId="0" fontId="8" fillId="11" borderId="21" xfId="3" applyFont="1" applyFill="1" applyBorder="1" applyAlignment="1">
      <alignment horizontal="center" vertical="center" wrapText="1"/>
    </xf>
    <xf numFmtId="0" fontId="9" fillId="0" borderId="22" xfId="0" applyFont="1" applyBorder="1" applyAlignment="1">
      <alignment horizontal="left" vertical="center" wrapText="1"/>
    </xf>
    <xf numFmtId="0" fontId="8" fillId="11" borderId="22" xfId="3" applyFont="1" applyFill="1" applyBorder="1" applyAlignment="1">
      <alignment horizontal="center" vertical="center" wrapText="1"/>
    </xf>
    <xf numFmtId="0" fontId="9" fillId="0" borderId="22" xfId="0" applyFont="1" applyBorder="1" applyAlignment="1">
      <alignment horizontal="center" vertical="center" wrapText="1" readingOrder="1"/>
    </xf>
    <xf numFmtId="0" fontId="9" fillId="0" borderId="23" xfId="3" applyFont="1" applyBorder="1" applyAlignment="1">
      <alignment horizontal="center" vertical="center" wrapText="1"/>
    </xf>
    <xf numFmtId="0" fontId="8" fillId="11" borderId="27" xfId="3" applyFont="1" applyFill="1" applyBorder="1" applyAlignment="1">
      <alignment horizontal="center" vertical="center" wrapText="1"/>
    </xf>
    <xf numFmtId="0" fontId="8" fillId="11" borderId="24" xfId="3" applyFont="1" applyFill="1" applyBorder="1" applyAlignment="1">
      <alignment horizontal="center" vertical="center" wrapText="1"/>
    </xf>
    <xf numFmtId="0" fontId="9" fillId="3" borderId="25" xfId="3" applyFont="1" applyFill="1" applyBorder="1" applyAlignment="1">
      <alignment horizontal="left" vertical="center" wrapText="1"/>
    </xf>
    <xf numFmtId="0" fontId="8" fillId="11" borderId="25" xfId="3" applyFont="1" applyFill="1" applyBorder="1" applyAlignment="1">
      <alignment horizontal="center" vertical="center" wrapText="1"/>
    </xf>
    <xf numFmtId="0" fontId="5" fillId="0" borderId="25" xfId="0" applyFont="1" applyBorder="1" applyAlignment="1">
      <alignment horizontal="center" vertical="center" wrapText="1"/>
    </xf>
    <xf numFmtId="0" fontId="10" fillId="7" borderId="21" xfId="0" applyFont="1" applyFill="1" applyBorder="1" applyAlignment="1">
      <alignment horizontal="center" vertical="center" wrapText="1"/>
    </xf>
    <xf numFmtId="0" fontId="9" fillId="3" borderId="22" xfId="3" applyFont="1" applyFill="1" applyBorder="1" applyAlignment="1">
      <alignment horizontal="left" vertical="center" wrapText="1"/>
    </xf>
    <xf numFmtId="0" fontId="10" fillId="7" borderId="22" xfId="0" applyFont="1" applyFill="1" applyBorder="1" applyAlignment="1">
      <alignment horizontal="center" vertical="center" wrapText="1"/>
    </xf>
    <xf numFmtId="0" fontId="16" fillId="0" borderId="22" xfId="0" applyFont="1" applyBorder="1" applyAlignment="1">
      <alignment horizontal="center" vertical="center" wrapText="1"/>
    </xf>
    <xf numFmtId="0" fontId="9" fillId="0" borderId="23" xfId="0" applyFont="1" applyBorder="1" applyAlignment="1">
      <alignment horizontal="center" vertical="center" wrapText="1" readingOrder="1"/>
    </xf>
    <xf numFmtId="0" fontId="10" fillId="7" borderId="27" xfId="0" applyFont="1" applyFill="1" applyBorder="1" applyAlignment="1">
      <alignment horizontal="center" vertical="center" wrapText="1"/>
    </xf>
    <xf numFmtId="0" fontId="8" fillId="7" borderId="27" xfId="3" applyFont="1" applyFill="1" applyBorder="1" applyAlignment="1">
      <alignment horizontal="center" vertical="center" wrapText="1"/>
    </xf>
    <xf numFmtId="0" fontId="9" fillId="3" borderId="28" xfId="0" applyFont="1" applyFill="1" applyBorder="1" applyAlignment="1">
      <alignment horizontal="center" vertical="center" wrapText="1" readingOrder="1"/>
    </xf>
    <xf numFmtId="0" fontId="10" fillId="7" borderId="24"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9" fillId="3" borderId="26" xfId="0" applyFont="1" applyFill="1" applyBorder="1" applyAlignment="1">
      <alignment horizontal="center" vertical="center" wrapText="1" readingOrder="1"/>
    </xf>
    <xf numFmtId="0" fontId="8" fillId="4" borderId="21" xfId="3" applyFont="1" applyFill="1" applyBorder="1" applyAlignment="1">
      <alignment horizontal="center" vertical="center" wrapText="1"/>
    </xf>
    <xf numFmtId="0" fontId="8" fillId="4" borderId="22" xfId="3" applyFont="1" applyFill="1" applyBorder="1" applyAlignment="1">
      <alignment horizontal="center" vertical="center" wrapText="1"/>
    </xf>
    <xf numFmtId="0" fontId="8" fillId="4" borderId="27" xfId="3" applyFont="1" applyFill="1" applyBorder="1" applyAlignment="1">
      <alignment horizontal="center" vertical="center" wrapText="1"/>
    </xf>
    <xf numFmtId="0" fontId="9" fillId="0" borderId="28" xfId="3" applyFont="1" applyBorder="1" applyAlignment="1">
      <alignment horizontal="center" vertical="center"/>
    </xf>
    <xf numFmtId="0" fontId="8" fillId="4" borderId="24" xfId="3" applyFont="1" applyFill="1" applyBorder="1" applyAlignment="1">
      <alignment horizontal="center" vertical="center" wrapText="1"/>
    </xf>
    <xf numFmtId="0" fontId="8" fillId="4" borderId="25" xfId="3" applyFont="1" applyFill="1" applyBorder="1" applyAlignment="1">
      <alignment horizontal="center" vertical="center" wrapText="1"/>
    </xf>
    <xf numFmtId="0" fontId="9" fillId="0" borderId="25" xfId="3" applyFont="1" applyBorder="1" applyAlignment="1">
      <alignment horizontal="center" vertical="center" wrapText="1"/>
    </xf>
    <xf numFmtId="0" fontId="8" fillId="8" borderId="21" xfId="3" applyFont="1" applyFill="1" applyBorder="1" applyAlignment="1">
      <alignment horizontal="center" vertical="center" wrapText="1"/>
    </xf>
    <xf numFmtId="0" fontId="8" fillId="8" borderId="22" xfId="3"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1" fillId="0" borderId="28" xfId="0" applyFont="1" applyBorder="1" applyAlignment="1">
      <alignment horizontal="center" vertical="center" wrapText="1"/>
    </xf>
    <xf numFmtId="0" fontId="8" fillId="8" borderId="27" xfId="3"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3" borderId="25" xfId="0" applyFont="1" applyFill="1" applyBorder="1" applyAlignment="1">
      <alignment horizontal="left" vertical="center" wrapText="1"/>
    </xf>
    <xf numFmtId="0" fontId="11" fillId="6" borderId="25" xfId="0" applyFont="1" applyFill="1" applyBorder="1" applyAlignment="1">
      <alignment horizontal="left" vertical="center" wrapText="1"/>
    </xf>
    <xf numFmtId="0" fontId="10" fillId="8" borderId="25" xfId="0" applyFont="1" applyFill="1" applyBorder="1" applyAlignment="1">
      <alignment horizontal="center" vertical="center" wrapText="1"/>
    </xf>
    <xf numFmtId="0" fontId="11" fillId="0" borderId="26" xfId="0" applyFont="1" applyBorder="1" applyAlignment="1">
      <alignment horizontal="center" vertical="center" wrapText="1"/>
    </xf>
    <xf numFmtId="0" fontId="8" fillId="12" borderId="15" xfId="3" applyFont="1" applyFill="1" applyBorder="1" applyAlignment="1">
      <alignment horizontal="center" vertical="center" wrapText="1"/>
    </xf>
    <xf numFmtId="0" fontId="9" fillId="3" borderId="9" xfId="3" applyFont="1" applyFill="1" applyBorder="1" applyAlignment="1">
      <alignment horizontal="left" vertical="center" wrapText="1"/>
    </xf>
    <xf numFmtId="0" fontId="8" fillId="12" borderId="9" xfId="3" applyFont="1" applyFill="1" applyBorder="1" applyAlignment="1">
      <alignment horizontal="center" vertical="center" wrapText="1"/>
    </xf>
    <xf numFmtId="0" fontId="9" fillId="0" borderId="9" xfId="0" applyFont="1" applyBorder="1" applyAlignment="1">
      <alignment horizontal="left" vertical="center" wrapText="1" readingOrder="1"/>
    </xf>
    <xf numFmtId="0" fontId="9" fillId="0" borderId="16" xfId="0" applyFont="1" applyBorder="1" applyAlignment="1">
      <alignment horizontal="center" vertical="center" wrapText="1" readingOrder="1"/>
    </xf>
    <xf numFmtId="0" fontId="13" fillId="13" borderId="1" xfId="4" applyFont="1" applyFill="1" applyBorder="1" applyAlignment="1">
      <alignment horizontal="center" wrapText="1"/>
    </xf>
    <xf numFmtId="165" fontId="6" fillId="0" borderId="1" xfId="4" applyNumberFormat="1" applyFont="1" applyBorder="1" applyAlignment="1">
      <alignment horizontal="right" vertical="center"/>
    </xf>
    <xf numFmtId="0" fontId="6" fillId="0" borderId="1" xfId="4" applyFont="1" applyBorder="1" applyAlignment="1">
      <alignment horizontal="left" wrapText="1"/>
    </xf>
    <xf numFmtId="165" fontId="13" fillId="0" borderId="1" xfId="4" applyNumberFormat="1" applyFont="1" applyBorder="1" applyAlignment="1">
      <alignment horizontal="right" vertical="center"/>
    </xf>
    <xf numFmtId="0" fontId="12" fillId="4" borderId="1" xfId="4" applyFont="1" applyFill="1" applyBorder="1" applyAlignment="1">
      <alignment horizontal="center" vertical="center" wrapText="1"/>
    </xf>
    <xf numFmtId="0" fontId="12" fillId="4" borderId="1" xfId="4" applyFont="1" applyFill="1" applyBorder="1" applyAlignment="1">
      <alignment horizontal="center" vertical="center"/>
    </xf>
    <xf numFmtId="0" fontId="6" fillId="0" borderId="1" xfId="4" applyFont="1" applyBorder="1" applyAlignment="1">
      <alignment horizontal="center" wrapText="1"/>
    </xf>
    <xf numFmtId="0" fontId="13" fillId="13" borderId="1" xfId="4" applyFont="1" applyFill="1" applyBorder="1" applyAlignment="1">
      <alignment horizontal="left" vertical="center"/>
    </xf>
    <xf numFmtId="0" fontId="6" fillId="12" borderId="1" xfId="4" applyFont="1" applyFill="1" applyBorder="1" applyAlignment="1">
      <alignment horizontal="center" vertical="center"/>
    </xf>
    <xf numFmtId="0" fontId="9" fillId="12" borderId="1" xfId="0" applyFont="1" applyFill="1" applyBorder="1" applyAlignment="1">
      <alignment horizontal="center"/>
    </xf>
    <xf numFmtId="0" fontId="6" fillId="12" borderId="1" xfId="4" applyFont="1" applyFill="1" applyBorder="1" applyAlignment="1">
      <alignment horizontal="center"/>
    </xf>
    <xf numFmtId="165" fontId="6" fillId="0" borderId="18" xfId="4" applyNumberFormat="1" applyFont="1" applyBorder="1" applyAlignment="1">
      <alignment horizontal="right" vertical="center"/>
    </xf>
    <xf numFmtId="165" fontId="6" fillId="0" borderId="5" xfId="4" applyNumberFormat="1" applyFont="1" applyBorder="1" applyAlignment="1">
      <alignment horizontal="right" vertical="center"/>
    </xf>
    <xf numFmtId="0" fontId="14" fillId="10" borderId="1" xfId="4" applyFont="1" applyFill="1" applyBorder="1" applyAlignment="1">
      <alignment horizontal="center" vertical="center" wrapText="1"/>
    </xf>
    <xf numFmtId="0" fontId="15" fillId="5" borderId="1" xfId="4" applyFont="1" applyFill="1" applyBorder="1" applyAlignment="1">
      <alignment horizontal="center" vertical="center"/>
    </xf>
    <xf numFmtId="165" fontId="13" fillId="0" borderId="18" xfId="4" applyNumberFormat="1" applyFont="1" applyBorder="1" applyAlignment="1">
      <alignment horizontal="right" vertical="center"/>
    </xf>
    <xf numFmtId="165" fontId="13" fillId="0" borderId="5" xfId="4" applyNumberFormat="1" applyFont="1" applyBorder="1" applyAlignment="1">
      <alignment horizontal="right" vertical="center"/>
    </xf>
    <xf numFmtId="0" fontId="8" fillId="4" borderId="1" xfId="4" applyFont="1" applyFill="1" applyBorder="1" applyAlignment="1">
      <alignment horizontal="center" vertical="center"/>
    </xf>
    <xf numFmtId="165" fontId="13" fillId="3" borderId="1" xfId="4" applyNumberFormat="1" applyFont="1" applyFill="1" applyBorder="1" applyAlignment="1">
      <alignment horizontal="right" vertical="center"/>
    </xf>
    <xf numFmtId="0" fontId="8" fillId="2" borderId="8"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14" borderId="6" xfId="3" applyFont="1" applyFill="1" applyBorder="1" applyAlignment="1">
      <alignment horizontal="center" vertical="center" wrapText="1"/>
    </xf>
    <xf numFmtId="0" fontId="8" fillId="14" borderId="0" xfId="3" applyFont="1" applyFill="1" applyAlignment="1">
      <alignment horizontal="center" vertical="center" wrapText="1"/>
    </xf>
    <xf numFmtId="0" fontId="8" fillId="14" borderId="10" xfId="3" applyFont="1" applyFill="1" applyBorder="1" applyAlignment="1">
      <alignment horizontal="center" vertical="center" wrapText="1"/>
    </xf>
    <xf numFmtId="0" fontId="8" fillId="15" borderId="7" xfId="3" applyFont="1" applyFill="1" applyBorder="1" applyAlignment="1">
      <alignment horizontal="center" vertical="center" wrapText="1"/>
    </xf>
    <xf numFmtId="0" fontId="8" fillId="15" borderId="13" xfId="3" applyFont="1" applyFill="1" applyBorder="1" applyAlignment="1">
      <alignment horizontal="center" vertical="center" wrapText="1"/>
    </xf>
    <xf numFmtId="0" fontId="8" fillId="15" borderId="14" xfId="3" applyFont="1" applyFill="1" applyBorder="1" applyAlignment="1">
      <alignment horizontal="center" vertical="center" wrapText="1"/>
    </xf>
    <xf numFmtId="0" fontId="22" fillId="18" borderId="1" xfId="0" applyFont="1" applyFill="1" applyBorder="1" applyAlignment="1">
      <alignment horizontal="center"/>
    </xf>
  </cellXfs>
  <cellStyles count="10">
    <cellStyle name="Comma 2" xfId="5" xr:uid="{00000000-0005-0000-0000-000000000000}"/>
    <cellStyle name="Hyperlink 2" xfId="1" xr:uid="{00000000-0005-0000-0000-000001000000}"/>
    <cellStyle name="Hyperlink 3" xfId="2" xr:uid="{00000000-0005-0000-0000-000002000000}"/>
    <cellStyle name="Normal" xfId="0" builtinId="0"/>
    <cellStyle name="Normal 10" xfId="6" xr:uid="{00000000-0005-0000-0000-000004000000}"/>
    <cellStyle name="Normal 2" xfId="4" xr:uid="{00000000-0005-0000-0000-000005000000}"/>
    <cellStyle name="Normal 3" xfId="7" xr:uid="{00000000-0005-0000-0000-000006000000}"/>
    <cellStyle name="Normal 4" xfId="3" xr:uid="{00000000-0005-0000-0000-000007000000}"/>
    <cellStyle name="Normal 5" xfId="8" xr:uid="{035CD1C3-A099-43E8-9E7D-76A090788DA4}"/>
    <cellStyle name="Normal 6" xfId="9" xr:uid="{5DF7D7C2-1F48-433F-BBB0-1C3D00BEEC02}"/>
  </cellStyles>
  <dxfs count="1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CC"/>
      <color rgb="FFFF66FF"/>
      <color rgb="FF046A38"/>
      <color rgb="FFFF671F"/>
      <color rgb="FFCC0066"/>
      <color rgb="FFFF5050"/>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177649</xdr:colOff>
      <xdr:row>0</xdr:row>
      <xdr:rowOff>18507</xdr:rowOff>
    </xdr:from>
    <xdr:to>
      <xdr:col>5</xdr:col>
      <xdr:colOff>589643</xdr:colOff>
      <xdr:row>0</xdr:row>
      <xdr:rowOff>489668</xdr:rowOff>
    </xdr:to>
    <xdr:pic>
      <xdr:nvPicPr>
        <xdr:cNvPr id="3" name="Picture 2">
          <a:extLst>
            <a:ext uri="{FF2B5EF4-FFF2-40B4-BE49-F238E27FC236}">
              <a16:creationId xmlns:a16="http://schemas.microsoft.com/office/drawing/2014/main" id="{A7F8B6B1-8054-A691-3391-0675E7134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3453" y="358686"/>
          <a:ext cx="3303512" cy="471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bandhanbank.com/" TargetMode="External"/><Relationship Id="rId3" Type="http://schemas.openxmlformats.org/officeDocument/2006/relationships/hyperlink" Target="https://punjabandsindbank.co.in/" TargetMode="External"/><Relationship Id="rId7" Type="http://schemas.openxmlformats.org/officeDocument/2006/relationships/hyperlink" Target="https://www.dcbbank.com/" TargetMode="External"/><Relationship Id="rId2" Type="http://schemas.openxmlformats.org/officeDocument/2006/relationships/hyperlink" Target="https://www.iob.in/" TargetMode="External"/><Relationship Id="rId1" Type="http://schemas.openxmlformats.org/officeDocument/2006/relationships/hyperlink" Target="https://www.bankofmaharashtra.in/" TargetMode="External"/><Relationship Id="rId6" Type="http://schemas.openxmlformats.org/officeDocument/2006/relationships/hyperlink" Target="https://www.cityunionbank.com/" TargetMode="External"/><Relationship Id="rId5" Type="http://schemas.openxmlformats.org/officeDocument/2006/relationships/hyperlink" Target="http://www.csb.co.in/" TargetMode="External"/><Relationship Id="rId10" Type="http://schemas.openxmlformats.org/officeDocument/2006/relationships/printerSettings" Target="../printerSettings/printerSettings2.bin"/><Relationship Id="rId4" Type="http://schemas.openxmlformats.org/officeDocument/2006/relationships/hyperlink" Target="https://www.ucobank.com/" TargetMode="External"/><Relationship Id="rId9" Type="http://schemas.openxmlformats.org/officeDocument/2006/relationships/hyperlink" Target="https://www.dbs.com/india/default.pag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0504-A69D-45AA-BDFD-90BB2EA9C7B4}">
  <dimension ref="A1:AJ66"/>
  <sheetViews>
    <sheetView tabSelected="1" zoomScale="70" zoomScaleNormal="70" workbookViewId="0">
      <selection activeCell="B27" sqref="B27:AI27"/>
    </sheetView>
  </sheetViews>
  <sheetFormatPr defaultColWidth="9.1796875" defaultRowHeight="13" x14ac:dyDescent="0.3"/>
  <cols>
    <col min="1" max="1" width="7.26953125" style="1" customWidth="1"/>
    <col min="2" max="2" width="15.1796875" style="1" bestFit="1" customWidth="1"/>
    <col min="3" max="8" width="8.54296875" style="1" customWidth="1"/>
    <col min="9" max="17" width="8.54296875" style="2" customWidth="1"/>
    <col min="18" max="18" width="7.7265625" style="2" bestFit="1" customWidth="1"/>
    <col min="19" max="20" width="10.54296875" style="2" customWidth="1"/>
    <col min="21" max="35" width="10.54296875" style="1" customWidth="1"/>
    <col min="36" max="16384" width="9.1796875" style="1"/>
  </cols>
  <sheetData>
    <row r="1" spans="1:35" s="3" customFormat="1" ht="43" customHeight="1" x14ac:dyDescent="0.35">
      <c r="A1" s="164" t="s">
        <v>3007</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row>
    <row r="2" spans="1:35" s="3" customFormat="1" ht="18.5" x14ac:dyDescent="0.35">
      <c r="A2" s="165" t="s">
        <v>2988</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row>
    <row r="3" spans="1:35" s="3" customFormat="1" ht="30.5" customHeight="1" x14ac:dyDescent="0.35">
      <c r="A3" s="159"/>
      <c r="B3" s="151" t="s">
        <v>0</v>
      </c>
      <c r="C3" s="155" t="s">
        <v>2771</v>
      </c>
      <c r="D3" s="155"/>
      <c r="E3" s="155"/>
      <c r="F3" s="156" t="s">
        <v>1569</v>
      </c>
      <c r="G3" s="156"/>
      <c r="H3" s="156"/>
      <c r="I3" s="155" t="s">
        <v>2999</v>
      </c>
      <c r="J3" s="156"/>
      <c r="K3" s="156"/>
      <c r="L3" s="156" t="s">
        <v>1568</v>
      </c>
      <c r="M3" s="156"/>
      <c r="N3" s="156"/>
      <c r="O3" s="155" t="s">
        <v>1577</v>
      </c>
      <c r="P3" s="156"/>
      <c r="Q3" s="156"/>
      <c r="R3" s="156" t="s">
        <v>1566</v>
      </c>
      <c r="S3" s="156"/>
      <c r="T3" s="156"/>
      <c r="U3" s="156" t="s">
        <v>1570</v>
      </c>
      <c r="V3" s="156"/>
      <c r="W3" s="156"/>
      <c r="X3" s="156" t="s">
        <v>1571</v>
      </c>
      <c r="Y3" s="156"/>
      <c r="Z3" s="156"/>
      <c r="AA3" s="156" t="s">
        <v>1572</v>
      </c>
      <c r="AB3" s="156"/>
      <c r="AC3" s="156"/>
      <c r="AD3" s="168" t="s">
        <v>1567</v>
      </c>
      <c r="AE3" s="168"/>
      <c r="AF3" s="168"/>
      <c r="AG3" s="156" t="s">
        <v>1573</v>
      </c>
      <c r="AH3" s="156"/>
      <c r="AI3" s="156"/>
    </row>
    <row r="4" spans="1:35" ht="14.5" customHeight="1" x14ac:dyDescent="0.3">
      <c r="A4" s="159"/>
      <c r="B4" s="151"/>
      <c r="C4" s="24" t="s">
        <v>1</v>
      </c>
      <c r="D4" s="24" t="s">
        <v>2</v>
      </c>
      <c r="E4" s="24" t="s">
        <v>3</v>
      </c>
      <c r="F4" s="24" t="s">
        <v>1</v>
      </c>
      <c r="G4" s="24" t="s">
        <v>2</v>
      </c>
      <c r="H4" s="24" t="s">
        <v>3</v>
      </c>
      <c r="I4" s="24" t="s">
        <v>1</v>
      </c>
      <c r="J4" s="24" t="s">
        <v>2</v>
      </c>
      <c r="K4" s="24" t="s">
        <v>3</v>
      </c>
      <c r="L4" s="24" t="s">
        <v>1</v>
      </c>
      <c r="M4" s="24" t="s">
        <v>2</v>
      </c>
      <c r="N4" s="24" t="s">
        <v>3</v>
      </c>
      <c r="O4" s="24" t="s">
        <v>1</v>
      </c>
      <c r="P4" s="24" t="s">
        <v>2</v>
      </c>
      <c r="Q4" s="24" t="s">
        <v>3</v>
      </c>
      <c r="R4" s="24" t="s">
        <v>1</v>
      </c>
      <c r="S4" s="24" t="s">
        <v>2</v>
      </c>
      <c r="T4" s="24" t="s">
        <v>3</v>
      </c>
      <c r="U4" s="24" t="s">
        <v>1</v>
      </c>
      <c r="V4" s="24" t="s">
        <v>2</v>
      </c>
      <c r="W4" s="24" t="s">
        <v>3</v>
      </c>
      <c r="X4" s="24" t="s">
        <v>1</v>
      </c>
      <c r="Y4" s="24" t="s">
        <v>2</v>
      </c>
      <c r="Z4" s="24" t="s">
        <v>3</v>
      </c>
      <c r="AA4" s="24" t="s">
        <v>1</v>
      </c>
      <c r="AB4" s="24" t="s">
        <v>2</v>
      </c>
      <c r="AC4" s="24" t="s">
        <v>3</v>
      </c>
      <c r="AD4" s="24" t="s">
        <v>1</v>
      </c>
      <c r="AE4" s="24" t="s">
        <v>2</v>
      </c>
      <c r="AF4" s="24" t="s">
        <v>3</v>
      </c>
      <c r="AG4" s="24" t="s">
        <v>1</v>
      </c>
      <c r="AH4" s="24" t="s">
        <v>2</v>
      </c>
      <c r="AI4" s="24" t="s">
        <v>3</v>
      </c>
    </row>
    <row r="5" spans="1:35" ht="14.5" customHeight="1" x14ac:dyDescent="0.3">
      <c r="A5" s="159"/>
      <c r="B5" s="69" t="s">
        <v>4</v>
      </c>
      <c r="C5" s="152">
        <v>0</v>
      </c>
      <c r="D5" s="152">
        <v>0</v>
      </c>
      <c r="E5" s="154">
        <v>0</v>
      </c>
      <c r="F5" s="152">
        <v>0</v>
      </c>
      <c r="G5" s="152">
        <v>0</v>
      </c>
      <c r="H5" s="154">
        <v>0</v>
      </c>
      <c r="I5" s="152">
        <v>1800</v>
      </c>
      <c r="J5" s="152">
        <v>1800</v>
      </c>
      <c r="K5" s="154">
        <f>I5+J5</f>
        <v>3600</v>
      </c>
      <c r="L5" s="152">
        <v>0</v>
      </c>
      <c r="M5" s="152">
        <v>0</v>
      </c>
      <c r="N5" s="154">
        <v>0</v>
      </c>
      <c r="O5" s="162">
        <v>2500</v>
      </c>
      <c r="P5" s="162">
        <v>2500</v>
      </c>
      <c r="Q5" s="166">
        <f>O5+P5</f>
        <v>5000</v>
      </c>
      <c r="R5" s="162">
        <v>2500</v>
      </c>
      <c r="S5" s="162">
        <v>2500</v>
      </c>
      <c r="T5" s="166">
        <f>R5+S5</f>
        <v>5000</v>
      </c>
      <c r="U5" s="152">
        <v>0</v>
      </c>
      <c r="V5" s="152">
        <v>0</v>
      </c>
      <c r="W5" s="154">
        <v>0</v>
      </c>
      <c r="X5" s="152">
        <v>1800</v>
      </c>
      <c r="Y5" s="152">
        <v>900</v>
      </c>
      <c r="Z5" s="154">
        <f>X5+Y5</f>
        <v>2700</v>
      </c>
      <c r="AA5" s="152">
        <v>900</v>
      </c>
      <c r="AB5" s="152">
        <v>900</v>
      </c>
      <c r="AC5" s="154">
        <f>AA5+AB5</f>
        <v>1800</v>
      </c>
      <c r="AD5" s="152">
        <v>7500</v>
      </c>
      <c r="AE5" s="152">
        <v>2500</v>
      </c>
      <c r="AF5" s="169">
        <f>AD5+AE5</f>
        <v>10000</v>
      </c>
      <c r="AG5" s="152">
        <v>0</v>
      </c>
      <c r="AH5" s="152">
        <v>0</v>
      </c>
      <c r="AI5" s="154">
        <v>0</v>
      </c>
    </row>
    <row r="6" spans="1:35" ht="14.5" customHeight="1" x14ac:dyDescent="0.3">
      <c r="A6" s="159"/>
      <c r="B6" s="69" t="s">
        <v>5</v>
      </c>
      <c r="C6" s="152"/>
      <c r="D6" s="152"/>
      <c r="E6" s="154"/>
      <c r="F6" s="152"/>
      <c r="G6" s="152"/>
      <c r="H6" s="154"/>
      <c r="I6" s="152"/>
      <c r="J6" s="152"/>
      <c r="K6" s="154"/>
      <c r="L6" s="152"/>
      <c r="M6" s="152"/>
      <c r="N6" s="154"/>
      <c r="O6" s="163"/>
      <c r="P6" s="163"/>
      <c r="Q6" s="167"/>
      <c r="R6" s="163"/>
      <c r="S6" s="163"/>
      <c r="T6" s="167"/>
      <c r="U6" s="152"/>
      <c r="V6" s="152"/>
      <c r="W6" s="154"/>
      <c r="X6" s="152"/>
      <c r="Y6" s="152"/>
      <c r="Z6" s="154"/>
      <c r="AA6" s="152"/>
      <c r="AB6" s="152"/>
      <c r="AC6" s="154"/>
      <c r="AD6" s="152"/>
      <c r="AE6" s="152"/>
      <c r="AF6" s="169"/>
      <c r="AG6" s="152"/>
      <c r="AH6" s="152"/>
      <c r="AI6" s="154"/>
    </row>
    <row r="7" spans="1:35" ht="14.5" customHeight="1" x14ac:dyDescent="0.3">
      <c r="A7" s="159"/>
      <c r="B7" s="69" t="s">
        <v>6</v>
      </c>
      <c r="C7" s="152">
        <v>0</v>
      </c>
      <c r="D7" s="152">
        <v>0</v>
      </c>
      <c r="E7" s="154">
        <v>0</v>
      </c>
      <c r="F7" s="152">
        <v>0</v>
      </c>
      <c r="G7" s="152">
        <v>0</v>
      </c>
      <c r="H7" s="154">
        <v>0</v>
      </c>
      <c r="I7" s="152">
        <v>2300</v>
      </c>
      <c r="J7" s="152">
        <v>2300</v>
      </c>
      <c r="K7" s="154">
        <f>I7+J7</f>
        <v>4600</v>
      </c>
      <c r="L7" s="152">
        <v>0</v>
      </c>
      <c r="M7" s="152">
        <v>0</v>
      </c>
      <c r="N7" s="154">
        <v>0</v>
      </c>
      <c r="O7" s="162">
        <v>2500</v>
      </c>
      <c r="P7" s="162">
        <v>2500</v>
      </c>
      <c r="Q7" s="166">
        <f>O7+P7</f>
        <v>5000</v>
      </c>
      <c r="R7" s="162">
        <v>2500</v>
      </c>
      <c r="S7" s="162">
        <v>2500</v>
      </c>
      <c r="T7" s="166">
        <f>R7+S7</f>
        <v>5000</v>
      </c>
      <c r="U7" s="152">
        <v>0</v>
      </c>
      <c r="V7" s="152">
        <v>0</v>
      </c>
      <c r="W7" s="154">
        <v>0</v>
      </c>
      <c r="X7" s="152">
        <v>2200</v>
      </c>
      <c r="Y7" s="152">
        <v>1300</v>
      </c>
      <c r="Z7" s="154">
        <f>X7+Y7</f>
        <v>3500</v>
      </c>
      <c r="AA7" s="152">
        <v>1800</v>
      </c>
      <c r="AB7" s="152">
        <v>900</v>
      </c>
      <c r="AC7" s="154">
        <f>AA7+AB7</f>
        <v>2700</v>
      </c>
      <c r="AD7" s="152">
        <v>7500</v>
      </c>
      <c r="AE7" s="152">
        <v>2500</v>
      </c>
      <c r="AF7" s="169">
        <f>AD7+AE7</f>
        <v>10000</v>
      </c>
      <c r="AG7" s="152">
        <v>0</v>
      </c>
      <c r="AH7" s="152">
        <v>0</v>
      </c>
      <c r="AI7" s="154">
        <v>0</v>
      </c>
    </row>
    <row r="8" spans="1:35" ht="14.5" customHeight="1" x14ac:dyDescent="0.3">
      <c r="A8" s="159"/>
      <c r="B8" s="69" t="s">
        <v>7</v>
      </c>
      <c r="C8" s="152"/>
      <c r="D8" s="152"/>
      <c r="E8" s="154"/>
      <c r="F8" s="152"/>
      <c r="G8" s="152"/>
      <c r="H8" s="154"/>
      <c r="I8" s="152"/>
      <c r="J8" s="152"/>
      <c r="K8" s="154"/>
      <c r="L8" s="152"/>
      <c r="M8" s="152"/>
      <c r="N8" s="154"/>
      <c r="O8" s="163"/>
      <c r="P8" s="163"/>
      <c r="Q8" s="167"/>
      <c r="R8" s="163"/>
      <c r="S8" s="163"/>
      <c r="T8" s="167"/>
      <c r="U8" s="152"/>
      <c r="V8" s="152"/>
      <c r="W8" s="154"/>
      <c r="X8" s="152"/>
      <c r="Y8" s="152"/>
      <c r="Z8" s="154"/>
      <c r="AA8" s="152"/>
      <c r="AB8" s="152"/>
      <c r="AC8" s="154"/>
      <c r="AD8" s="152"/>
      <c r="AE8" s="152"/>
      <c r="AF8" s="169"/>
      <c r="AG8" s="152"/>
      <c r="AH8" s="152"/>
      <c r="AI8" s="154"/>
    </row>
    <row r="9" spans="1:35" ht="14.5" customHeight="1" x14ac:dyDescent="0.3">
      <c r="A9" s="159"/>
      <c r="B9" s="69" t="s">
        <v>8</v>
      </c>
      <c r="C9" s="152">
        <v>5000</v>
      </c>
      <c r="D9" s="152">
        <v>5000</v>
      </c>
      <c r="E9" s="154">
        <v>10000</v>
      </c>
      <c r="F9" s="152">
        <v>0</v>
      </c>
      <c r="G9" s="152">
        <v>0</v>
      </c>
      <c r="H9" s="154">
        <v>0</v>
      </c>
      <c r="I9" s="152">
        <v>2800</v>
      </c>
      <c r="J9" s="152">
        <v>2800</v>
      </c>
      <c r="K9" s="154">
        <f>I9+J9</f>
        <v>5600</v>
      </c>
      <c r="L9" s="152">
        <v>0</v>
      </c>
      <c r="M9" s="152">
        <v>0</v>
      </c>
      <c r="N9" s="154">
        <v>0</v>
      </c>
      <c r="O9" s="162">
        <v>2500</v>
      </c>
      <c r="P9" s="162">
        <v>2500</v>
      </c>
      <c r="Q9" s="166">
        <f>O9+P9</f>
        <v>5000</v>
      </c>
      <c r="R9" s="162">
        <f t="shared" ref="R9:R10" si="0">T9*50%</f>
        <v>5000</v>
      </c>
      <c r="S9" s="162">
        <f t="shared" ref="S9:S10" si="1">T9*50%</f>
        <v>5000</v>
      </c>
      <c r="T9" s="166">
        <v>10000</v>
      </c>
      <c r="U9" s="152">
        <v>0</v>
      </c>
      <c r="V9" s="152">
        <v>0</v>
      </c>
      <c r="W9" s="154">
        <v>0</v>
      </c>
      <c r="X9" s="152">
        <v>2700</v>
      </c>
      <c r="Y9" s="152">
        <v>1300</v>
      </c>
      <c r="Z9" s="154">
        <f>X9+Y9</f>
        <v>4000</v>
      </c>
      <c r="AA9" s="152">
        <v>2200</v>
      </c>
      <c r="AB9" s="152">
        <v>1300</v>
      </c>
      <c r="AC9" s="154">
        <f>AA9+AB9</f>
        <v>3500</v>
      </c>
      <c r="AD9" s="152">
        <f t="shared" ref="AD9" si="2">AF9*50%</f>
        <v>5000</v>
      </c>
      <c r="AE9" s="152">
        <f t="shared" ref="AE9" si="3">AF9*50%</f>
        <v>5000</v>
      </c>
      <c r="AF9" s="169">
        <v>10000</v>
      </c>
      <c r="AG9" s="152">
        <v>0</v>
      </c>
      <c r="AH9" s="152">
        <v>0</v>
      </c>
      <c r="AI9" s="154">
        <v>0</v>
      </c>
    </row>
    <row r="10" spans="1:35" ht="14.5" customHeight="1" x14ac:dyDescent="0.3">
      <c r="A10" s="159"/>
      <c r="B10" s="69" t="s">
        <v>9</v>
      </c>
      <c r="C10" s="152"/>
      <c r="D10" s="152"/>
      <c r="E10" s="154"/>
      <c r="F10" s="152"/>
      <c r="G10" s="152"/>
      <c r="H10" s="154"/>
      <c r="I10" s="152"/>
      <c r="J10" s="152"/>
      <c r="K10" s="154"/>
      <c r="L10" s="152"/>
      <c r="M10" s="152"/>
      <c r="N10" s="154"/>
      <c r="O10" s="163"/>
      <c r="P10" s="163"/>
      <c r="Q10" s="167"/>
      <c r="R10" s="163"/>
      <c r="S10" s="163"/>
      <c r="T10" s="167"/>
      <c r="U10" s="152"/>
      <c r="V10" s="152"/>
      <c r="W10" s="154"/>
      <c r="X10" s="152"/>
      <c r="Y10" s="152"/>
      <c r="Z10" s="154"/>
      <c r="AA10" s="152"/>
      <c r="AB10" s="152"/>
      <c r="AC10" s="154"/>
      <c r="AD10" s="152"/>
      <c r="AE10" s="152"/>
      <c r="AF10" s="169"/>
      <c r="AG10" s="152"/>
      <c r="AH10" s="152"/>
      <c r="AI10" s="154"/>
    </row>
    <row r="11" spans="1:35" ht="26.15" customHeight="1" x14ac:dyDescent="0.3">
      <c r="A11" s="159"/>
      <c r="B11" s="69" t="s">
        <v>10</v>
      </c>
      <c r="C11" s="70">
        <v>7500</v>
      </c>
      <c r="D11" s="70">
        <v>7500</v>
      </c>
      <c r="E11" s="23">
        <v>15000</v>
      </c>
      <c r="F11" s="70">
        <f>H11*50%</f>
        <v>2500</v>
      </c>
      <c r="G11" s="70">
        <f>H11*50%</f>
        <v>2500</v>
      </c>
      <c r="H11" s="23">
        <v>5000</v>
      </c>
      <c r="I11" s="70">
        <f>K11*50%</f>
        <v>3750</v>
      </c>
      <c r="J11" s="70">
        <f>K11*50%</f>
        <v>3750</v>
      </c>
      <c r="K11" s="23">
        <v>7500</v>
      </c>
      <c r="L11" s="70">
        <f>N11*50%</f>
        <v>2500</v>
      </c>
      <c r="M11" s="70">
        <f>N11*50%</f>
        <v>2500</v>
      </c>
      <c r="N11" s="23">
        <v>5000</v>
      </c>
      <c r="O11" s="70">
        <f>Q11*50%</f>
        <v>2500</v>
      </c>
      <c r="P11" s="70">
        <f>Q11*50%</f>
        <v>2500</v>
      </c>
      <c r="Q11" s="23">
        <v>5000</v>
      </c>
      <c r="R11" s="70">
        <f>T11*50%</f>
        <v>5000</v>
      </c>
      <c r="S11" s="70">
        <f>T11*50%</f>
        <v>5000</v>
      </c>
      <c r="T11" s="23">
        <v>10000</v>
      </c>
      <c r="U11" s="70">
        <f>W11*50%</f>
        <v>2500</v>
      </c>
      <c r="V11" s="70">
        <f>W11*50%</f>
        <v>2500</v>
      </c>
      <c r="W11" s="22">
        <v>5000</v>
      </c>
      <c r="X11" s="70">
        <f>Z11*50%</f>
        <v>2500</v>
      </c>
      <c r="Y11" s="70">
        <f>Z11*50%</f>
        <v>2500</v>
      </c>
      <c r="Z11" s="23">
        <v>5000</v>
      </c>
      <c r="AA11" s="70">
        <f>AC11*50%</f>
        <v>2500</v>
      </c>
      <c r="AB11" s="70">
        <f>AC11*50%</f>
        <v>2500</v>
      </c>
      <c r="AC11" s="22">
        <v>5000</v>
      </c>
      <c r="AD11" s="70">
        <f>AF11*50%</f>
        <v>7500</v>
      </c>
      <c r="AE11" s="70">
        <f>AF11*50%</f>
        <v>7500</v>
      </c>
      <c r="AF11" s="22">
        <v>15000</v>
      </c>
      <c r="AG11" s="70">
        <f>AI11*50%</f>
        <v>2500</v>
      </c>
      <c r="AH11" s="70">
        <f>AI11*50%</f>
        <v>2500</v>
      </c>
      <c r="AI11" s="23">
        <v>5000</v>
      </c>
    </row>
    <row r="12" spans="1:35" s="3" customFormat="1" ht="26.15" customHeight="1" x14ac:dyDescent="0.35">
      <c r="A12" s="159"/>
      <c r="B12" s="71" t="s">
        <v>11</v>
      </c>
      <c r="C12" s="70">
        <f>60%*E12</f>
        <v>24000</v>
      </c>
      <c r="D12" s="70">
        <f>40%*E12</f>
        <v>16000</v>
      </c>
      <c r="E12" s="23">
        <v>40000</v>
      </c>
      <c r="F12" s="70">
        <f>60%*H12</f>
        <v>18000</v>
      </c>
      <c r="G12" s="70">
        <f>40%*H12</f>
        <v>12000</v>
      </c>
      <c r="H12" s="23">
        <v>30000</v>
      </c>
      <c r="I12" s="70">
        <f>60%*K12</f>
        <v>24000</v>
      </c>
      <c r="J12" s="70">
        <f>40%*K12</f>
        <v>16000</v>
      </c>
      <c r="K12" s="23">
        <v>40000</v>
      </c>
      <c r="L12" s="70">
        <f>60%*N12</f>
        <v>24000</v>
      </c>
      <c r="M12" s="70">
        <f>40%*N12</f>
        <v>16000</v>
      </c>
      <c r="N12" s="23">
        <v>40000</v>
      </c>
      <c r="O12" s="70">
        <f>60%*Q12</f>
        <v>18000</v>
      </c>
      <c r="P12" s="70">
        <f>40%*Q12</f>
        <v>12000</v>
      </c>
      <c r="Q12" s="23">
        <v>30000</v>
      </c>
      <c r="R12" s="70">
        <f>60%*T12</f>
        <v>18000</v>
      </c>
      <c r="S12" s="70">
        <f>40%*T12</f>
        <v>12000</v>
      </c>
      <c r="T12" s="23">
        <v>30000</v>
      </c>
      <c r="U12" s="70">
        <f>60%*W12</f>
        <v>24000</v>
      </c>
      <c r="V12" s="70">
        <f>40%*W12</f>
        <v>16000</v>
      </c>
      <c r="W12" s="23">
        <v>40000</v>
      </c>
      <c r="X12" s="70">
        <f>60%*Z12</f>
        <v>18000</v>
      </c>
      <c r="Y12" s="70">
        <f>40%*Z12</f>
        <v>12000</v>
      </c>
      <c r="Z12" s="23">
        <v>30000</v>
      </c>
      <c r="AA12" s="70">
        <f>60%*AC12</f>
        <v>18000</v>
      </c>
      <c r="AB12" s="70">
        <f>40%*AC12</f>
        <v>12000</v>
      </c>
      <c r="AC12" s="23">
        <v>30000</v>
      </c>
      <c r="AD12" s="70">
        <f>60%*AF12</f>
        <v>24000</v>
      </c>
      <c r="AE12" s="70">
        <f>40%*AF12</f>
        <v>16000</v>
      </c>
      <c r="AF12" s="23">
        <v>40000</v>
      </c>
      <c r="AG12" s="70">
        <f>60%*AI12</f>
        <v>24000</v>
      </c>
      <c r="AH12" s="70">
        <f>40%*AI12</f>
        <v>16000</v>
      </c>
      <c r="AI12" s="23">
        <v>40000</v>
      </c>
    </row>
    <row r="13" spans="1:35" x14ac:dyDescent="0.3">
      <c r="A13" s="161"/>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row>
    <row r="14" spans="1:35" s="3" customFormat="1" ht="18.5" x14ac:dyDescent="0.35">
      <c r="A14" s="165" t="s">
        <v>2989</v>
      </c>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row>
    <row r="15" spans="1:35" s="3" customFormat="1" ht="27" customHeight="1" x14ac:dyDescent="0.35">
      <c r="A15" s="159"/>
      <c r="B15" s="151" t="s">
        <v>0</v>
      </c>
      <c r="C15" s="155" t="s">
        <v>1574</v>
      </c>
      <c r="D15" s="155"/>
      <c r="E15" s="155"/>
      <c r="F15" s="155" t="s">
        <v>1576</v>
      </c>
      <c r="G15" s="155"/>
      <c r="H15" s="155"/>
      <c r="I15" s="156" t="s">
        <v>1575</v>
      </c>
      <c r="J15" s="156"/>
      <c r="K15" s="156"/>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row>
    <row r="16" spans="1:35" x14ac:dyDescent="0.3">
      <c r="A16" s="159"/>
      <c r="B16" s="151"/>
      <c r="C16" s="24" t="s">
        <v>1</v>
      </c>
      <c r="D16" s="24" t="s">
        <v>2</v>
      </c>
      <c r="E16" s="24" t="s">
        <v>3</v>
      </c>
      <c r="F16" s="24" t="s">
        <v>1</v>
      </c>
      <c r="G16" s="24" t="s">
        <v>2</v>
      </c>
      <c r="H16" s="24" t="s">
        <v>3</v>
      </c>
      <c r="I16" s="24" t="s">
        <v>1</v>
      </c>
      <c r="J16" s="24" t="s">
        <v>2</v>
      </c>
      <c r="K16" s="24" t="s">
        <v>3</v>
      </c>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row>
    <row r="17" spans="1:36" x14ac:dyDescent="0.3">
      <c r="A17" s="159"/>
      <c r="B17" s="69" t="s">
        <v>4</v>
      </c>
      <c r="C17" s="152">
        <v>1800</v>
      </c>
      <c r="D17" s="152">
        <v>900</v>
      </c>
      <c r="E17" s="154">
        <f>D17+C17</f>
        <v>2700</v>
      </c>
      <c r="F17" s="152">
        <v>900</v>
      </c>
      <c r="G17" s="152">
        <v>900</v>
      </c>
      <c r="H17" s="154">
        <f>G17+F17</f>
        <v>1800</v>
      </c>
      <c r="I17" s="152">
        <v>2600</v>
      </c>
      <c r="J17" s="152">
        <v>1800</v>
      </c>
      <c r="K17" s="154">
        <f>J17+I17</f>
        <v>4400</v>
      </c>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row>
    <row r="18" spans="1:36" x14ac:dyDescent="0.3">
      <c r="A18" s="159"/>
      <c r="B18" s="69" t="s">
        <v>5</v>
      </c>
      <c r="C18" s="152"/>
      <c r="D18" s="152"/>
      <c r="E18" s="154"/>
      <c r="F18" s="152"/>
      <c r="G18" s="152"/>
      <c r="H18" s="154"/>
      <c r="I18" s="152"/>
      <c r="J18" s="152"/>
      <c r="K18" s="154"/>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row>
    <row r="19" spans="1:36" x14ac:dyDescent="0.3">
      <c r="A19" s="159"/>
      <c r="B19" s="69" t="s">
        <v>6</v>
      </c>
      <c r="C19" s="152">
        <v>2300</v>
      </c>
      <c r="D19" s="152">
        <v>900</v>
      </c>
      <c r="E19" s="154">
        <f>D19+C19</f>
        <v>3200</v>
      </c>
      <c r="F19" s="152">
        <v>1800</v>
      </c>
      <c r="G19" s="152">
        <v>900</v>
      </c>
      <c r="H19" s="154">
        <f>G19+F19</f>
        <v>2700</v>
      </c>
      <c r="I19" s="152">
        <v>3500</v>
      </c>
      <c r="J19" s="152">
        <v>2300</v>
      </c>
      <c r="K19" s="154">
        <f>J19+I19</f>
        <v>5800</v>
      </c>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row>
    <row r="20" spans="1:36" x14ac:dyDescent="0.3">
      <c r="A20" s="159"/>
      <c r="B20" s="69" t="s">
        <v>7</v>
      </c>
      <c r="C20" s="152"/>
      <c r="D20" s="152"/>
      <c r="E20" s="154"/>
      <c r="F20" s="152"/>
      <c r="G20" s="152"/>
      <c r="H20" s="154"/>
      <c r="I20" s="152"/>
      <c r="J20" s="152"/>
      <c r="K20" s="154"/>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row>
    <row r="21" spans="1:36" x14ac:dyDescent="0.3">
      <c r="A21" s="159"/>
      <c r="B21" s="69" t="s">
        <v>8</v>
      </c>
      <c r="C21" s="152">
        <v>2700</v>
      </c>
      <c r="D21" s="152">
        <v>1300</v>
      </c>
      <c r="E21" s="154">
        <f>D21+C21</f>
        <v>4000</v>
      </c>
      <c r="F21" s="152">
        <v>2700</v>
      </c>
      <c r="G21" s="152">
        <v>1300</v>
      </c>
      <c r="H21" s="154">
        <f>G21+F21</f>
        <v>4000</v>
      </c>
      <c r="I21" s="152">
        <v>4500</v>
      </c>
      <c r="J21" s="152">
        <v>2600</v>
      </c>
      <c r="K21" s="154">
        <f>J21+I21</f>
        <v>7100</v>
      </c>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row>
    <row r="22" spans="1:36" x14ac:dyDescent="0.3">
      <c r="A22" s="159"/>
      <c r="B22" s="69" t="s">
        <v>9</v>
      </c>
      <c r="C22" s="152"/>
      <c r="D22" s="152"/>
      <c r="E22" s="154"/>
      <c r="F22" s="152"/>
      <c r="G22" s="152"/>
      <c r="H22" s="154"/>
      <c r="I22" s="152"/>
      <c r="J22" s="152"/>
      <c r="K22" s="154"/>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row>
    <row r="23" spans="1:36" ht="26.15" customHeight="1" x14ac:dyDescent="0.3">
      <c r="A23" s="159"/>
      <c r="B23" s="69" t="s">
        <v>10</v>
      </c>
      <c r="C23" s="70">
        <f>E23*50%</f>
        <v>2000</v>
      </c>
      <c r="D23" s="70">
        <f>E23*50%</f>
        <v>2000</v>
      </c>
      <c r="E23" s="25">
        <v>4000</v>
      </c>
      <c r="F23" s="70">
        <f>H23*50%</f>
        <v>2000</v>
      </c>
      <c r="G23" s="70">
        <f>H23*50%</f>
        <v>2000</v>
      </c>
      <c r="H23" s="25">
        <v>4000</v>
      </c>
      <c r="I23" s="70">
        <f>K23*50%</f>
        <v>3550</v>
      </c>
      <c r="J23" s="70">
        <f>K23*50%</f>
        <v>3550</v>
      </c>
      <c r="K23" s="25">
        <v>7100</v>
      </c>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row>
    <row r="24" spans="1:36" s="3" customFormat="1" ht="26.15" customHeight="1" x14ac:dyDescent="0.35">
      <c r="A24" s="159"/>
      <c r="B24" s="71" t="s">
        <v>11</v>
      </c>
      <c r="C24" s="70">
        <f>60%*E24</f>
        <v>12000</v>
      </c>
      <c r="D24" s="70">
        <f>40%*E24</f>
        <v>8000</v>
      </c>
      <c r="E24" s="25">
        <v>20000</v>
      </c>
      <c r="F24" s="70">
        <f>60%*H24</f>
        <v>12000</v>
      </c>
      <c r="G24" s="70">
        <f>40%*H24</f>
        <v>8000</v>
      </c>
      <c r="H24" s="25">
        <v>20000</v>
      </c>
      <c r="I24" s="70">
        <f>60%*K24</f>
        <v>12000</v>
      </c>
      <c r="J24" s="70">
        <f>40%*K24</f>
        <v>8000</v>
      </c>
      <c r="K24" s="25">
        <v>20000</v>
      </c>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row>
    <row r="25" spans="1:36" x14ac:dyDescent="0.3">
      <c r="A25" s="72"/>
      <c r="B25" s="72"/>
      <c r="C25" s="72"/>
      <c r="D25" s="72"/>
      <c r="E25" s="72"/>
      <c r="F25" s="72"/>
      <c r="G25" s="72"/>
      <c r="H25" s="72"/>
      <c r="I25" s="73"/>
      <c r="J25" s="74"/>
      <c r="K25" s="74"/>
      <c r="L25" s="73"/>
      <c r="M25" s="73"/>
      <c r="N25" s="73"/>
      <c r="O25" s="73"/>
      <c r="P25" s="73"/>
      <c r="Q25" s="73"/>
      <c r="R25" s="72"/>
      <c r="S25" s="72"/>
      <c r="T25" s="72"/>
      <c r="U25" s="72"/>
      <c r="V25" s="72"/>
      <c r="W25" s="72"/>
      <c r="X25" s="72"/>
      <c r="Y25" s="72"/>
      <c r="Z25" s="72"/>
      <c r="AA25" s="72"/>
      <c r="AB25" s="72"/>
      <c r="AC25" s="72"/>
      <c r="AD25" s="72"/>
      <c r="AE25" s="72"/>
      <c r="AF25" s="72"/>
      <c r="AG25" s="72"/>
      <c r="AH25" s="72"/>
      <c r="AI25" s="72"/>
    </row>
    <row r="26" spans="1:36" s="3" customFormat="1" x14ac:dyDescent="0.35">
      <c r="A26" s="36" t="s">
        <v>12</v>
      </c>
      <c r="B26" s="158" t="s">
        <v>13</v>
      </c>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row>
    <row r="27" spans="1:36" s="4" customFormat="1" x14ac:dyDescent="0.3">
      <c r="A27" s="37">
        <v>1</v>
      </c>
      <c r="B27" s="153" t="s">
        <v>14</v>
      </c>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c r="AI27" s="153"/>
    </row>
    <row r="28" spans="1:36" s="4" customFormat="1" x14ac:dyDescent="0.3">
      <c r="A28" s="37">
        <v>2</v>
      </c>
      <c r="B28" s="153" t="s">
        <v>2671</v>
      </c>
      <c r="C28" s="153"/>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row>
    <row r="29" spans="1:36" s="4" customFormat="1" x14ac:dyDescent="0.3">
      <c r="A29" s="37">
        <v>3</v>
      </c>
      <c r="B29" s="153" t="s">
        <v>15</v>
      </c>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row>
    <row r="30" spans="1:36" s="4" customFormat="1" x14ac:dyDescent="0.3">
      <c r="A30" s="37">
        <v>4</v>
      </c>
      <c r="B30" s="153" t="s">
        <v>16</v>
      </c>
      <c r="C30" s="153"/>
      <c r="D30" s="153"/>
      <c r="E30" s="153"/>
      <c r="F30" s="153"/>
      <c r="G30" s="153"/>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row>
    <row r="31" spans="1:36" s="4" customFormat="1" x14ac:dyDescent="0.3">
      <c r="A31" s="37">
        <v>5</v>
      </c>
      <c r="B31" s="153" t="s">
        <v>17</v>
      </c>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c r="AI31" s="153"/>
      <c r="AJ31" s="26"/>
    </row>
    <row r="32" spans="1:36" s="4" customFormat="1" x14ac:dyDescent="0.3">
      <c r="A32" s="37">
        <v>6</v>
      </c>
      <c r="B32" s="153" t="s">
        <v>2991</v>
      </c>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26"/>
    </row>
    <row r="33" spans="1:36" s="4" customFormat="1" x14ac:dyDescent="0.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7"/>
      <c r="AB33" s="157"/>
      <c r="AC33" s="157"/>
      <c r="AD33" s="157"/>
      <c r="AE33" s="157"/>
      <c r="AF33" s="157"/>
      <c r="AG33" s="157"/>
      <c r="AH33" s="157"/>
      <c r="AI33" s="157"/>
      <c r="AJ33" s="26"/>
    </row>
    <row r="34" spans="1:36" s="4" customFormat="1" x14ac:dyDescent="0.3">
      <c r="A34" s="36" t="s">
        <v>12</v>
      </c>
      <c r="B34" s="158" t="s">
        <v>2984</v>
      </c>
      <c r="C34" s="158"/>
      <c r="D34" s="158"/>
      <c r="E34" s="158"/>
      <c r="F34" s="158"/>
      <c r="G34" s="158"/>
      <c r="H34" s="158"/>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26"/>
    </row>
    <row r="35" spans="1:36" s="4" customFormat="1" ht="13" customHeight="1" x14ac:dyDescent="0.3">
      <c r="A35" s="37">
        <v>1</v>
      </c>
      <c r="B35" s="153" t="s">
        <v>18</v>
      </c>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26"/>
    </row>
    <row r="36" spans="1:36" s="4" customFormat="1" ht="13" customHeight="1" x14ac:dyDescent="0.3">
      <c r="A36" s="37">
        <v>2</v>
      </c>
      <c r="B36" s="153" t="s">
        <v>19</v>
      </c>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26"/>
    </row>
    <row r="37" spans="1:36" s="4" customFormat="1" ht="13" customHeight="1" x14ac:dyDescent="0.3">
      <c r="A37" s="37">
        <v>3</v>
      </c>
      <c r="B37" s="153" t="s">
        <v>2981</v>
      </c>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26"/>
    </row>
    <row r="38" spans="1:36" s="4" customFormat="1" ht="13" customHeight="1" x14ac:dyDescent="0.3">
      <c r="A38" s="37">
        <v>4</v>
      </c>
      <c r="B38" s="153" t="s">
        <v>20</v>
      </c>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26"/>
    </row>
    <row r="39" spans="1:36" s="4" customFormat="1" ht="13" customHeight="1" x14ac:dyDescent="0.3">
      <c r="A39" s="37">
        <v>5</v>
      </c>
      <c r="B39" s="153" t="s">
        <v>2990</v>
      </c>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26"/>
    </row>
    <row r="40" spans="1:36" s="4" customFormat="1" x14ac:dyDescent="0.3">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26"/>
    </row>
    <row r="41" spans="1:36" s="5" customFormat="1" x14ac:dyDescent="0.3">
      <c r="A41" s="36" t="s">
        <v>12</v>
      </c>
      <c r="B41" s="158" t="s">
        <v>21</v>
      </c>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row>
    <row r="42" spans="1:36" s="5" customFormat="1" ht="13" customHeight="1" x14ac:dyDescent="0.3">
      <c r="A42" s="37">
        <v>1</v>
      </c>
      <c r="B42" s="153" t="s">
        <v>22</v>
      </c>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row>
    <row r="43" spans="1:36" s="5" customFormat="1" x14ac:dyDescent="0.3">
      <c r="A43" s="38" t="s">
        <v>23</v>
      </c>
      <c r="B43" s="153" t="s">
        <v>24</v>
      </c>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row>
    <row r="44" spans="1:36" x14ac:dyDescent="0.3">
      <c r="A44" s="38" t="s">
        <v>25</v>
      </c>
      <c r="B44" s="153" t="s">
        <v>26</v>
      </c>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row>
    <row r="45" spans="1:36" x14ac:dyDescent="0.3">
      <c r="A45" s="38" t="s">
        <v>27</v>
      </c>
      <c r="B45" s="153" t="s">
        <v>28</v>
      </c>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row>
    <row r="46" spans="1:36" x14ac:dyDescent="0.3">
      <c r="A46" s="37">
        <v>2</v>
      </c>
      <c r="B46" s="153" t="s">
        <v>2982</v>
      </c>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row>
    <row r="47" spans="1:36" x14ac:dyDescent="0.3">
      <c r="A47" s="37">
        <v>3</v>
      </c>
      <c r="B47" s="153" t="s">
        <v>2983</v>
      </c>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row>
    <row r="48" spans="1:36" x14ac:dyDescent="0.3">
      <c r="A48" s="37">
        <v>4</v>
      </c>
      <c r="B48" s="153" t="s">
        <v>29</v>
      </c>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row>
    <row r="49" spans="1:35" x14ac:dyDescent="0.3">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row>
    <row r="50" spans="1:35" s="5" customFormat="1" x14ac:dyDescent="0.3">
      <c r="A50" s="36" t="s">
        <v>12</v>
      </c>
      <c r="B50" s="158" t="s">
        <v>30</v>
      </c>
      <c r="C50" s="158"/>
      <c r="D50" s="158"/>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row>
    <row r="51" spans="1:35" s="5" customFormat="1" x14ac:dyDescent="0.3">
      <c r="A51" s="37">
        <v>1</v>
      </c>
      <c r="B51" s="153" t="s">
        <v>2985</v>
      </c>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row>
    <row r="52" spans="1:35" s="5" customFormat="1" ht="13" customHeight="1" x14ac:dyDescent="0.3">
      <c r="A52" s="37">
        <v>2</v>
      </c>
      <c r="B52" s="153" t="s">
        <v>31</v>
      </c>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row>
    <row r="53" spans="1:35" s="5" customFormat="1" ht="13" customHeight="1" x14ac:dyDescent="0.3">
      <c r="A53" s="37">
        <v>3</v>
      </c>
      <c r="B53" s="153" t="s">
        <v>32</v>
      </c>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row>
    <row r="54" spans="1:35" s="5" customFormat="1" ht="13" customHeight="1" x14ac:dyDescent="0.3">
      <c r="A54" s="37">
        <v>4</v>
      </c>
      <c r="B54" s="153" t="s">
        <v>33</v>
      </c>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c r="AI54" s="153"/>
    </row>
    <row r="55" spans="1:35" s="5" customFormat="1" x14ac:dyDescent="0.3">
      <c r="A55" s="37">
        <v>5</v>
      </c>
      <c r="B55" s="153" t="s">
        <v>34</v>
      </c>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row>
    <row r="56" spans="1:35" s="5" customFormat="1" x14ac:dyDescent="0.3">
      <c r="A56" s="37">
        <v>6</v>
      </c>
      <c r="B56" s="153" t="s">
        <v>35</v>
      </c>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row>
    <row r="57" spans="1:35" s="5" customFormat="1" ht="13" customHeight="1" x14ac:dyDescent="0.3">
      <c r="A57" s="37">
        <v>7</v>
      </c>
      <c r="B57" s="153" t="s">
        <v>36</v>
      </c>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C57" s="153"/>
      <c r="AD57" s="153"/>
      <c r="AE57" s="153"/>
      <c r="AF57" s="153"/>
      <c r="AG57" s="153"/>
      <c r="AH57" s="153"/>
      <c r="AI57" s="153"/>
    </row>
    <row r="58" spans="1:35" s="5" customFormat="1" x14ac:dyDescent="0.3">
      <c r="A58" s="37">
        <v>8</v>
      </c>
      <c r="B58" s="153" t="s">
        <v>37</v>
      </c>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row>
    <row r="59" spans="1:35" s="5" customFormat="1" ht="13" customHeight="1" x14ac:dyDescent="0.3">
      <c r="A59" s="37">
        <v>9</v>
      </c>
      <c r="B59" s="153" t="s">
        <v>38</v>
      </c>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row>
    <row r="60" spans="1:35" s="5" customFormat="1" x14ac:dyDescent="0.3">
      <c r="A60" s="37">
        <v>10</v>
      </c>
      <c r="B60" s="153" t="s">
        <v>39</v>
      </c>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row>
    <row r="61" spans="1:35" x14ac:dyDescent="0.3">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row>
    <row r="62" spans="1:35" x14ac:dyDescent="0.3">
      <c r="A62" s="36" t="s">
        <v>12</v>
      </c>
      <c r="B62" s="158" t="s">
        <v>40</v>
      </c>
      <c r="C62" s="158"/>
      <c r="D62" s="158"/>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row>
    <row r="63" spans="1:35" x14ac:dyDescent="0.3">
      <c r="A63" s="37">
        <v>1</v>
      </c>
      <c r="B63" s="153" t="s">
        <v>2986</v>
      </c>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row>
    <row r="64" spans="1:35" x14ac:dyDescent="0.3">
      <c r="A64" s="37">
        <v>2</v>
      </c>
      <c r="B64" s="153" t="s">
        <v>41</v>
      </c>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c r="AI64" s="153"/>
    </row>
    <row r="65" spans="1:35" x14ac:dyDescent="0.3">
      <c r="A65" s="37">
        <v>3</v>
      </c>
      <c r="B65" s="153" t="s">
        <v>42</v>
      </c>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row>
    <row r="66" spans="1:35" x14ac:dyDescent="0.3">
      <c r="A66" s="37">
        <v>4</v>
      </c>
      <c r="B66" s="153" t="s">
        <v>43</v>
      </c>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row>
  </sheetData>
  <mergeCells count="190">
    <mergeCell ref="I7:I8"/>
    <mergeCell ref="J7:J8"/>
    <mergeCell ref="K7:K8"/>
    <mergeCell ref="L7:L8"/>
    <mergeCell ref="M7:M8"/>
    <mergeCell ref="N7:N8"/>
    <mergeCell ref="P7:P8"/>
    <mergeCell ref="G7:G8"/>
    <mergeCell ref="H7:H8"/>
    <mergeCell ref="F7:F8"/>
    <mergeCell ref="C7:C8"/>
    <mergeCell ref="D7:D8"/>
    <mergeCell ref="E7:E8"/>
    <mergeCell ref="U7:U8"/>
    <mergeCell ref="V7:V8"/>
    <mergeCell ref="A14:AI14"/>
    <mergeCell ref="F9:F10"/>
    <mergeCell ref="G9:G10"/>
    <mergeCell ref="AB9:AB10"/>
    <mergeCell ref="AC9:AC10"/>
    <mergeCell ref="AD9:AD10"/>
    <mergeCell ref="AE9:AE10"/>
    <mergeCell ref="AA9:AA10"/>
    <mergeCell ref="AF9:AF10"/>
    <mergeCell ref="AG9:AG10"/>
    <mergeCell ref="Q9:Q10"/>
    <mergeCell ref="R9:R10"/>
    <mergeCell ref="S9:S10"/>
    <mergeCell ref="T9:T10"/>
    <mergeCell ref="I9:I10"/>
    <mergeCell ref="J9:J10"/>
    <mergeCell ref="L9:L10"/>
    <mergeCell ref="M9:M10"/>
    <mergeCell ref="N9:N10"/>
    <mergeCell ref="O9:O10"/>
    <mergeCell ref="P9:P10"/>
    <mergeCell ref="Y9:Y10"/>
    <mergeCell ref="Z9:Z10"/>
    <mergeCell ref="O5:O6"/>
    <mergeCell ref="P5:P6"/>
    <mergeCell ref="Q5:Q6"/>
    <mergeCell ref="W7:W8"/>
    <mergeCell ref="Q7:Q8"/>
    <mergeCell ref="R7:R8"/>
    <mergeCell ref="S7:S8"/>
    <mergeCell ref="T7:T8"/>
    <mergeCell ref="G5:G6"/>
    <mergeCell ref="AI7:AI8"/>
    <mergeCell ref="H9:H10"/>
    <mergeCell ref="C9:C10"/>
    <mergeCell ref="D9:D10"/>
    <mergeCell ref="E9:E10"/>
    <mergeCell ref="Y7:Y8"/>
    <mergeCell ref="Z7:Z8"/>
    <mergeCell ref="AA7:AA8"/>
    <mergeCell ref="AB7:AB8"/>
    <mergeCell ref="AC7:AC8"/>
    <mergeCell ref="AD7:AD8"/>
    <mergeCell ref="AE7:AE8"/>
    <mergeCell ref="AF7:AF8"/>
    <mergeCell ref="AG7:AG8"/>
    <mergeCell ref="U9:U10"/>
    <mergeCell ref="V9:V10"/>
    <mergeCell ref="W9:W10"/>
    <mergeCell ref="X9:X10"/>
    <mergeCell ref="AH9:AH10"/>
    <mergeCell ref="AI9:AI10"/>
    <mergeCell ref="O7:O8"/>
    <mergeCell ref="X7:X8"/>
    <mergeCell ref="K9:K10"/>
    <mergeCell ref="C5:C6"/>
    <mergeCell ref="A1:AI1"/>
    <mergeCell ref="A2:AI2"/>
    <mergeCell ref="B3:B4"/>
    <mergeCell ref="K5:K6"/>
    <mergeCell ref="I3:K3"/>
    <mergeCell ref="L3:N3"/>
    <mergeCell ref="F3:H3"/>
    <mergeCell ref="C3:E3"/>
    <mergeCell ref="U3:W3"/>
    <mergeCell ref="X3:Z3"/>
    <mergeCell ref="AA3:AC3"/>
    <mergeCell ref="AG3:AI3"/>
    <mergeCell ref="S5:S6"/>
    <mergeCell ref="T5:T6"/>
    <mergeCell ref="AI5:AI6"/>
    <mergeCell ref="AD3:AF3"/>
    <mergeCell ref="O3:Q3"/>
    <mergeCell ref="R3:T3"/>
    <mergeCell ref="AC5:AC6"/>
    <mergeCell ref="AD5:AD6"/>
    <mergeCell ref="AE5:AE6"/>
    <mergeCell ref="AF5:AF6"/>
    <mergeCell ref="AG5:AG6"/>
    <mergeCell ref="A49:AI49"/>
    <mergeCell ref="A61:AI61"/>
    <mergeCell ref="A13:AI13"/>
    <mergeCell ref="D5:D6"/>
    <mergeCell ref="E5:E6"/>
    <mergeCell ref="U5:U6"/>
    <mergeCell ref="V5:V6"/>
    <mergeCell ref="W5:W6"/>
    <mergeCell ref="X5:X6"/>
    <mergeCell ref="Y5:Y6"/>
    <mergeCell ref="Z5:Z6"/>
    <mergeCell ref="AA5:AA6"/>
    <mergeCell ref="AB5:AB6"/>
    <mergeCell ref="I5:I6"/>
    <mergeCell ref="J5:J6"/>
    <mergeCell ref="L5:L6"/>
    <mergeCell ref="M5:M6"/>
    <mergeCell ref="N5:N6"/>
    <mergeCell ref="F5:F6"/>
    <mergeCell ref="A3:A12"/>
    <mergeCell ref="AH7:AH8"/>
    <mergeCell ref="R5:R6"/>
    <mergeCell ref="AH5:AH6"/>
    <mergeCell ref="H5:H6"/>
    <mergeCell ref="B34:AI34"/>
    <mergeCell ref="B35:AI35"/>
    <mergeCell ref="B66:AI66"/>
    <mergeCell ref="B64:AI64"/>
    <mergeCell ref="B65:AI65"/>
    <mergeCell ref="B42:AI42"/>
    <mergeCell ref="B43:AI43"/>
    <mergeCell ref="B44:AI44"/>
    <mergeCell ref="B45:AI45"/>
    <mergeCell ref="B46:AI46"/>
    <mergeCell ref="B47:AI47"/>
    <mergeCell ref="B48:AI48"/>
    <mergeCell ref="B62:AI62"/>
    <mergeCell ref="B50:AI50"/>
    <mergeCell ref="B51:AI51"/>
    <mergeCell ref="B52:AI52"/>
    <mergeCell ref="B53:AI53"/>
    <mergeCell ref="B57:AI57"/>
    <mergeCell ref="B54:AI54"/>
    <mergeCell ref="B60:AI60"/>
    <mergeCell ref="B55:AI55"/>
    <mergeCell ref="B63:AI63"/>
    <mergeCell ref="B59:AI59"/>
    <mergeCell ref="B56:AI56"/>
    <mergeCell ref="B41:AI41"/>
    <mergeCell ref="B36:AI36"/>
    <mergeCell ref="B58:AI58"/>
    <mergeCell ref="B39:AI39"/>
    <mergeCell ref="C19:C20"/>
    <mergeCell ref="I21:I22"/>
    <mergeCell ref="J21:J22"/>
    <mergeCell ref="K21:K22"/>
    <mergeCell ref="F21:F22"/>
    <mergeCell ref="G21:G22"/>
    <mergeCell ref="H21:H22"/>
    <mergeCell ref="A40:AI40"/>
    <mergeCell ref="C21:C22"/>
    <mergeCell ref="D21:D22"/>
    <mergeCell ref="I19:I20"/>
    <mergeCell ref="J19:J20"/>
    <mergeCell ref="A15:A24"/>
    <mergeCell ref="E17:E18"/>
    <mergeCell ref="D19:D20"/>
    <mergeCell ref="B32:AI32"/>
    <mergeCell ref="E19:E20"/>
    <mergeCell ref="E21:E22"/>
    <mergeCell ref="L15:AI24"/>
    <mergeCell ref="B26:AI26"/>
    <mergeCell ref="B15:B16"/>
    <mergeCell ref="G17:G18"/>
    <mergeCell ref="B38:AI38"/>
    <mergeCell ref="I17:I18"/>
    <mergeCell ref="J17:J18"/>
    <mergeCell ref="F17:F18"/>
    <mergeCell ref="K19:K20"/>
    <mergeCell ref="F19:F20"/>
    <mergeCell ref="G19:G20"/>
    <mergeCell ref="H19:H20"/>
    <mergeCell ref="C15:E15"/>
    <mergeCell ref="F15:H15"/>
    <mergeCell ref="K17:K18"/>
    <mergeCell ref="D17:D18"/>
    <mergeCell ref="H17:H18"/>
    <mergeCell ref="I15:K15"/>
    <mergeCell ref="C17:C18"/>
    <mergeCell ref="B37:AI37"/>
    <mergeCell ref="B27:AI27"/>
    <mergeCell ref="B28:AI28"/>
    <mergeCell ref="B29:AI29"/>
    <mergeCell ref="B31:AI31"/>
    <mergeCell ref="B30:AI30"/>
    <mergeCell ref="A33:AI3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ABC7C-E2FA-4B75-B4A0-319B04AFD6B7}">
  <dimension ref="A1:Z1006"/>
  <sheetViews>
    <sheetView topLeftCell="C1" zoomScale="57" zoomScaleNormal="50" zoomScaleSheetLayoutView="80" workbookViewId="0">
      <pane ySplit="2" topLeftCell="A3" activePane="bottomLeft" state="frozen"/>
      <selection activeCell="O3" sqref="O3:T12"/>
      <selection pane="bottomLeft" activeCell="N532" sqref="N532"/>
    </sheetView>
  </sheetViews>
  <sheetFormatPr defaultColWidth="9.1796875" defaultRowHeight="13" x14ac:dyDescent="0.35"/>
  <cols>
    <col min="1" max="1" width="1.54296875" style="29" customWidth="1"/>
    <col min="2" max="2" width="4.54296875" style="33" customWidth="1"/>
    <col min="3" max="3" width="15.54296875" style="33" customWidth="1"/>
    <col min="4" max="4" width="31.54296875" style="30" customWidth="1"/>
    <col min="5" max="5" width="10.81640625" style="33" customWidth="1"/>
    <col min="6" max="6" width="1.81640625" style="29" customWidth="1"/>
    <col min="7" max="7" width="5.7265625" style="33" customWidth="1"/>
    <col min="8" max="8" width="15.54296875" style="33" customWidth="1"/>
    <col min="9" max="9" width="31.54296875" style="30" customWidth="1"/>
    <col min="10" max="10" width="10.81640625" style="33" customWidth="1"/>
    <col min="11" max="11" width="1.7265625" style="29" customWidth="1"/>
    <col min="12" max="12" width="5.7265625" style="33" customWidth="1"/>
    <col min="13" max="13" width="15.54296875" style="33" customWidth="1"/>
    <col min="14" max="14" width="31.54296875" style="30" customWidth="1"/>
    <col min="15" max="15" width="10.81640625" style="33" customWidth="1"/>
    <col min="16" max="16" width="1.7265625" style="29" customWidth="1"/>
    <col min="17" max="17" width="5.7265625" style="30" customWidth="1"/>
    <col min="18" max="18" width="15.54296875" style="33" customWidth="1"/>
    <col min="19" max="19" width="31.54296875" style="30" customWidth="1"/>
    <col min="20" max="20" width="10.81640625" style="33" customWidth="1"/>
    <col min="21" max="21" width="1.26953125" style="29" customWidth="1"/>
    <col min="22" max="22" width="5.7265625" style="30" customWidth="1"/>
    <col min="23" max="23" width="15.54296875" style="33" customWidth="1"/>
    <col min="24" max="24" width="33.7265625" style="30" customWidth="1"/>
    <col min="25" max="25" width="10.81640625" style="35" customWidth="1"/>
    <col min="26" max="26" width="1.54296875" style="29" customWidth="1"/>
    <col min="27" max="16384" width="9.1796875" style="30"/>
  </cols>
  <sheetData>
    <row r="1" spans="1:26" ht="13.5" thickBot="1" x14ac:dyDescent="0.4">
      <c r="B1" s="173" t="s">
        <v>44</v>
      </c>
      <c r="C1" s="174"/>
      <c r="D1" s="174"/>
      <c r="E1" s="175"/>
      <c r="G1" s="176" t="s">
        <v>45</v>
      </c>
      <c r="H1" s="177"/>
      <c r="I1" s="177"/>
      <c r="J1" s="178"/>
      <c r="L1" s="176" t="s">
        <v>46</v>
      </c>
      <c r="M1" s="177"/>
      <c r="N1" s="177"/>
      <c r="O1" s="178"/>
      <c r="Q1" s="176" t="s">
        <v>47</v>
      </c>
      <c r="R1" s="177"/>
      <c r="S1" s="177"/>
      <c r="T1" s="178"/>
      <c r="V1" s="170" t="s">
        <v>48</v>
      </c>
      <c r="W1" s="171"/>
      <c r="X1" s="171"/>
      <c r="Y1" s="172"/>
    </row>
    <row r="2" spans="1:26" s="33" customFormat="1" ht="26.5" thickBot="1" x14ac:dyDescent="0.4">
      <c r="A2" s="31"/>
      <c r="B2" s="41" t="s">
        <v>49</v>
      </c>
      <c r="C2" s="42" t="s">
        <v>50</v>
      </c>
      <c r="D2" s="42" t="s">
        <v>51</v>
      </c>
      <c r="E2" s="43" t="s">
        <v>52</v>
      </c>
      <c r="F2" s="32"/>
      <c r="G2" s="85" t="s">
        <v>49</v>
      </c>
      <c r="H2" s="85" t="s">
        <v>50</v>
      </c>
      <c r="I2" s="85" t="s">
        <v>51</v>
      </c>
      <c r="J2" s="86" t="s">
        <v>52</v>
      </c>
      <c r="K2" s="32"/>
      <c r="L2" s="44" t="s">
        <v>49</v>
      </c>
      <c r="M2" s="45" t="s">
        <v>50</v>
      </c>
      <c r="N2" s="45" t="s">
        <v>51</v>
      </c>
      <c r="O2" s="46" t="s">
        <v>52</v>
      </c>
      <c r="P2" s="32"/>
      <c r="Q2" s="47" t="s">
        <v>49</v>
      </c>
      <c r="R2" s="48" t="s">
        <v>50</v>
      </c>
      <c r="S2" s="48" t="s">
        <v>51</v>
      </c>
      <c r="T2" s="49" t="s">
        <v>52</v>
      </c>
      <c r="U2" s="32"/>
      <c r="V2" s="68" t="s">
        <v>49</v>
      </c>
      <c r="W2" s="68" t="s">
        <v>50</v>
      </c>
      <c r="X2" s="68" t="s">
        <v>51</v>
      </c>
      <c r="Y2" s="68" t="s">
        <v>52</v>
      </c>
      <c r="Z2" s="31"/>
    </row>
    <row r="3" spans="1:26" ht="26" x14ac:dyDescent="0.35">
      <c r="B3" s="40">
        <v>1</v>
      </c>
      <c r="C3" s="39" t="s">
        <v>2678</v>
      </c>
      <c r="D3" s="61" t="s">
        <v>2556</v>
      </c>
      <c r="E3" s="62">
        <v>10634</v>
      </c>
      <c r="G3" s="67">
        <v>1</v>
      </c>
      <c r="H3" s="63" t="s">
        <v>2957</v>
      </c>
      <c r="I3" s="64" t="s">
        <v>108</v>
      </c>
      <c r="J3" s="64">
        <v>10926</v>
      </c>
      <c r="L3" s="40">
        <v>1</v>
      </c>
      <c r="M3" s="63" t="s">
        <v>2957</v>
      </c>
      <c r="N3" s="64" t="s">
        <v>2630</v>
      </c>
      <c r="O3" s="64">
        <v>11792</v>
      </c>
      <c r="Q3" s="40">
        <v>1</v>
      </c>
      <c r="R3" s="66" t="s">
        <v>2957</v>
      </c>
      <c r="S3" s="64" t="s">
        <v>1671</v>
      </c>
      <c r="T3" s="62">
        <v>11677</v>
      </c>
      <c r="V3" s="67">
        <v>1</v>
      </c>
      <c r="W3" s="63" t="s">
        <v>2957</v>
      </c>
      <c r="X3" s="64" t="s">
        <v>2956</v>
      </c>
      <c r="Y3" s="64">
        <v>12063</v>
      </c>
    </row>
    <row r="4" spans="1:26" ht="26" x14ac:dyDescent="0.35">
      <c r="B4" s="40">
        <v>2</v>
      </c>
      <c r="C4" s="39" t="s">
        <v>2678</v>
      </c>
      <c r="D4" s="64" t="s">
        <v>58</v>
      </c>
      <c r="E4" s="62">
        <v>11339</v>
      </c>
      <c r="G4" s="67">
        <v>2</v>
      </c>
      <c r="H4" s="63" t="s">
        <v>2957</v>
      </c>
      <c r="I4" s="64" t="s">
        <v>259</v>
      </c>
      <c r="J4" s="64">
        <v>10973</v>
      </c>
      <c r="L4" s="40">
        <v>2</v>
      </c>
      <c r="M4" s="63" t="s">
        <v>2957</v>
      </c>
      <c r="N4" s="64" t="s">
        <v>2631</v>
      </c>
      <c r="O4" s="64">
        <v>11793</v>
      </c>
      <c r="Q4" s="40">
        <v>2</v>
      </c>
      <c r="R4" s="63" t="s">
        <v>56</v>
      </c>
      <c r="S4" s="64" t="s">
        <v>57</v>
      </c>
      <c r="T4" s="64">
        <v>2049</v>
      </c>
      <c r="V4" s="67">
        <v>2</v>
      </c>
      <c r="W4" s="63" t="s">
        <v>2957</v>
      </c>
      <c r="X4" s="64" t="s">
        <v>2948</v>
      </c>
      <c r="Y4" s="64">
        <v>12055</v>
      </c>
    </row>
    <row r="5" spans="1:26" ht="26" x14ac:dyDescent="0.35">
      <c r="B5" s="40">
        <v>3</v>
      </c>
      <c r="C5" s="39" t="s">
        <v>2678</v>
      </c>
      <c r="D5" s="64" t="s">
        <v>62</v>
      </c>
      <c r="E5" s="64">
        <v>10635</v>
      </c>
      <c r="G5" s="67">
        <v>3</v>
      </c>
      <c r="H5" s="63" t="s">
        <v>2957</v>
      </c>
      <c r="I5" s="64" t="s">
        <v>400</v>
      </c>
      <c r="J5" s="64">
        <v>11025</v>
      </c>
      <c r="L5" s="40">
        <v>3</v>
      </c>
      <c r="M5" s="63" t="s">
        <v>2957</v>
      </c>
      <c r="N5" s="64" t="s">
        <v>444</v>
      </c>
      <c r="O5" s="64">
        <v>11169</v>
      </c>
      <c r="Q5" s="40">
        <v>3</v>
      </c>
      <c r="R5" s="63" t="s">
        <v>56</v>
      </c>
      <c r="S5" s="64" t="s">
        <v>61</v>
      </c>
      <c r="T5" s="64">
        <v>10209</v>
      </c>
      <c r="V5" s="67">
        <v>3</v>
      </c>
      <c r="W5" s="63" t="s">
        <v>2957</v>
      </c>
      <c r="X5" s="64" t="s">
        <v>2950</v>
      </c>
      <c r="Y5" s="64">
        <v>12057</v>
      </c>
    </row>
    <row r="6" spans="1:26" ht="26" x14ac:dyDescent="0.35">
      <c r="B6" s="40">
        <v>4</v>
      </c>
      <c r="C6" s="39" t="s">
        <v>2678</v>
      </c>
      <c r="D6" s="64" t="s">
        <v>1491</v>
      </c>
      <c r="E6" s="64">
        <v>11530</v>
      </c>
      <c r="G6" s="67">
        <v>4</v>
      </c>
      <c r="H6" s="63" t="s">
        <v>434</v>
      </c>
      <c r="I6" s="64" t="s">
        <v>1331</v>
      </c>
      <c r="J6" s="64">
        <v>11375</v>
      </c>
      <c r="L6" s="40">
        <v>4</v>
      </c>
      <c r="M6" s="63" t="s">
        <v>2957</v>
      </c>
      <c r="N6" s="64" t="s">
        <v>1580</v>
      </c>
      <c r="O6" s="64">
        <v>11691</v>
      </c>
      <c r="Q6" s="40">
        <v>4</v>
      </c>
      <c r="R6" s="63" t="s">
        <v>56</v>
      </c>
      <c r="S6" s="64" t="s">
        <v>65</v>
      </c>
      <c r="T6" s="64">
        <v>8043</v>
      </c>
      <c r="V6" s="67">
        <v>4</v>
      </c>
      <c r="W6" s="63" t="s">
        <v>2957</v>
      </c>
      <c r="X6" s="64" t="s">
        <v>2953</v>
      </c>
      <c r="Y6" s="64">
        <v>12060</v>
      </c>
    </row>
    <row r="7" spans="1:26" ht="39" x14ac:dyDescent="0.35">
      <c r="B7" s="40">
        <v>5</v>
      </c>
      <c r="C7" s="39" t="s">
        <v>2678</v>
      </c>
      <c r="D7" s="64" t="s">
        <v>1490</v>
      </c>
      <c r="E7" s="64">
        <v>11529</v>
      </c>
      <c r="G7" s="67">
        <v>5</v>
      </c>
      <c r="H7" s="8" t="s">
        <v>2680</v>
      </c>
      <c r="I7" s="64" t="s">
        <v>534</v>
      </c>
      <c r="J7" s="64">
        <v>11440</v>
      </c>
      <c r="L7" s="40">
        <v>5</v>
      </c>
      <c r="M7" s="63" t="s">
        <v>2691</v>
      </c>
      <c r="N7" s="64" t="s">
        <v>451</v>
      </c>
      <c r="O7" s="64">
        <v>11278</v>
      </c>
      <c r="Q7" s="40">
        <v>5</v>
      </c>
      <c r="R7" s="63" t="s">
        <v>56</v>
      </c>
      <c r="S7" s="64" t="s">
        <v>68</v>
      </c>
      <c r="T7" s="64">
        <v>2055</v>
      </c>
      <c r="V7" s="67">
        <v>5</v>
      </c>
      <c r="W7" s="63" t="s">
        <v>2957</v>
      </c>
      <c r="X7" s="64" t="s">
        <v>2954</v>
      </c>
      <c r="Y7" s="64">
        <v>12061</v>
      </c>
    </row>
    <row r="8" spans="1:26" ht="39" x14ac:dyDescent="0.35">
      <c r="B8" s="40">
        <v>6</v>
      </c>
      <c r="C8" s="39" t="s">
        <v>2678</v>
      </c>
      <c r="D8" s="65" t="s">
        <v>2557</v>
      </c>
      <c r="E8" s="64">
        <v>10636</v>
      </c>
      <c r="G8" s="67">
        <v>6</v>
      </c>
      <c r="H8" s="8" t="s">
        <v>2680</v>
      </c>
      <c r="I8" s="64" t="s">
        <v>1374</v>
      </c>
      <c r="J8" s="64">
        <v>11441</v>
      </c>
      <c r="L8" s="40">
        <v>6</v>
      </c>
      <c r="M8" s="63" t="s">
        <v>2691</v>
      </c>
      <c r="N8" s="64" t="s">
        <v>454</v>
      </c>
      <c r="O8" s="64">
        <v>11279</v>
      </c>
      <c r="Q8" s="40">
        <v>6</v>
      </c>
      <c r="R8" s="63" t="s">
        <v>56</v>
      </c>
      <c r="S8" s="64" t="s">
        <v>72</v>
      </c>
      <c r="T8" s="64">
        <v>2060</v>
      </c>
      <c r="V8" s="67">
        <v>6</v>
      </c>
      <c r="W8" s="63" t="s">
        <v>2957</v>
      </c>
      <c r="X8" s="64" t="s">
        <v>2949</v>
      </c>
      <c r="Y8" s="64">
        <v>12056</v>
      </c>
    </row>
    <row r="9" spans="1:26" ht="39" x14ac:dyDescent="0.35">
      <c r="B9" s="40">
        <v>7</v>
      </c>
      <c r="C9" s="39" t="s">
        <v>2678</v>
      </c>
      <c r="D9" s="64" t="s">
        <v>69</v>
      </c>
      <c r="E9" s="64">
        <v>10637</v>
      </c>
      <c r="G9" s="67">
        <v>7</v>
      </c>
      <c r="H9" s="8" t="s">
        <v>2680</v>
      </c>
      <c r="I9" s="64" t="s">
        <v>1375</v>
      </c>
      <c r="J9" s="64">
        <v>11442</v>
      </c>
      <c r="L9" s="40">
        <v>7</v>
      </c>
      <c r="M9" s="63" t="s">
        <v>2691</v>
      </c>
      <c r="N9" s="64" t="s">
        <v>448</v>
      </c>
      <c r="O9" s="64">
        <v>11277</v>
      </c>
      <c r="Q9" s="40">
        <v>7</v>
      </c>
      <c r="R9" s="63" t="s">
        <v>56</v>
      </c>
      <c r="S9" s="64" t="s">
        <v>76</v>
      </c>
      <c r="T9" s="64">
        <v>3207</v>
      </c>
      <c r="V9" s="67">
        <v>7</v>
      </c>
      <c r="W9" s="63" t="s">
        <v>2957</v>
      </c>
      <c r="X9" s="64" t="s">
        <v>1920</v>
      </c>
      <c r="Y9" s="64">
        <v>3285</v>
      </c>
    </row>
    <row r="10" spans="1:26" ht="39" x14ac:dyDescent="0.35">
      <c r="B10" s="40">
        <v>8</v>
      </c>
      <c r="C10" s="39" t="s">
        <v>2678</v>
      </c>
      <c r="D10" s="64" t="s">
        <v>73</v>
      </c>
      <c r="E10" s="64">
        <v>10638</v>
      </c>
      <c r="G10" s="67">
        <v>8</v>
      </c>
      <c r="H10" s="8" t="s">
        <v>2680</v>
      </c>
      <c r="I10" s="64" t="s">
        <v>1376</v>
      </c>
      <c r="J10" s="64">
        <v>11443</v>
      </c>
      <c r="L10" s="40">
        <v>8</v>
      </c>
      <c r="M10" s="63" t="s">
        <v>440</v>
      </c>
      <c r="N10" s="64" t="s">
        <v>2757</v>
      </c>
      <c r="O10" s="64">
        <v>11874</v>
      </c>
      <c r="Q10" s="40">
        <v>8</v>
      </c>
      <c r="R10" s="63" t="s">
        <v>56</v>
      </c>
      <c r="S10" s="64" t="s">
        <v>80</v>
      </c>
      <c r="T10" s="64">
        <v>8149</v>
      </c>
      <c r="V10" s="67">
        <v>8</v>
      </c>
      <c r="W10" s="63" t="s">
        <v>2957</v>
      </c>
      <c r="X10" s="64" t="s">
        <v>2947</v>
      </c>
      <c r="Y10" s="64">
        <v>12054</v>
      </c>
    </row>
    <row r="11" spans="1:26" ht="39" x14ac:dyDescent="0.35">
      <c r="B11" s="40">
        <v>9</v>
      </c>
      <c r="C11" s="39" t="s">
        <v>2678</v>
      </c>
      <c r="D11" s="64" t="s">
        <v>77</v>
      </c>
      <c r="E11" s="64">
        <v>10639</v>
      </c>
      <c r="G11" s="67">
        <v>9</v>
      </c>
      <c r="H11" s="8" t="s">
        <v>2680</v>
      </c>
      <c r="I11" s="64" t="s">
        <v>1377</v>
      </c>
      <c r="J11" s="64">
        <v>11444</v>
      </c>
      <c r="L11" s="40">
        <v>9</v>
      </c>
      <c r="M11" s="63" t="s">
        <v>440</v>
      </c>
      <c r="N11" s="64" t="s">
        <v>441</v>
      </c>
      <c r="O11" s="64">
        <v>11290</v>
      </c>
      <c r="Q11" s="40">
        <v>9</v>
      </c>
      <c r="R11" s="63" t="s">
        <v>56</v>
      </c>
      <c r="S11" s="64" t="s">
        <v>84</v>
      </c>
      <c r="T11" s="64">
        <v>8128</v>
      </c>
      <c r="V11" s="67">
        <v>9</v>
      </c>
      <c r="W11" s="63" t="s">
        <v>2957</v>
      </c>
      <c r="X11" s="64" t="s">
        <v>2952</v>
      </c>
      <c r="Y11" s="64">
        <v>12059</v>
      </c>
    </row>
    <row r="12" spans="1:26" ht="39" x14ac:dyDescent="0.35">
      <c r="B12" s="40">
        <v>10</v>
      </c>
      <c r="C12" s="39" t="s">
        <v>2678</v>
      </c>
      <c r="D12" s="64" t="s">
        <v>81</v>
      </c>
      <c r="E12" s="64">
        <v>10640</v>
      </c>
      <c r="G12" s="67">
        <v>10</v>
      </c>
      <c r="H12" s="8" t="s">
        <v>2680</v>
      </c>
      <c r="I12" s="64" t="s">
        <v>1378</v>
      </c>
      <c r="J12" s="64">
        <v>11445</v>
      </c>
      <c r="L12" s="40">
        <v>10</v>
      </c>
      <c r="M12" s="63" t="s">
        <v>440</v>
      </c>
      <c r="N12" s="64" t="s">
        <v>1805</v>
      </c>
      <c r="O12" s="64">
        <v>11731</v>
      </c>
      <c r="Q12" s="40">
        <v>10</v>
      </c>
      <c r="R12" s="63" t="s">
        <v>56</v>
      </c>
      <c r="S12" s="64" t="s">
        <v>88</v>
      </c>
      <c r="T12" s="64">
        <v>10551</v>
      </c>
      <c r="V12" s="67">
        <v>10</v>
      </c>
      <c r="W12" s="63" t="s">
        <v>2957</v>
      </c>
      <c r="X12" s="64" t="s">
        <v>2951</v>
      </c>
      <c r="Y12" s="64">
        <v>12058</v>
      </c>
    </row>
    <row r="13" spans="1:26" ht="39" x14ac:dyDescent="0.35">
      <c r="B13" s="40">
        <v>11</v>
      </c>
      <c r="C13" s="39" t="s">
        <v>2678</v>
      </c>
      <c r="D13" s="64" t="s">
        <v>85</v>
      </c>
      <c r="E13" s="64">
        <v>10641</v>
      </c>
      <c r="G13" s="67">
        <v>11</v>
      </c>
      <c r="H13" s="8" t="s">
        <v>2680</v>
      </c>
      <c r="I13" s="64" t="s">
        <v>1387</v>
      </c>
      <c r="J13" s="64">
        <v>11455</v>
      </c>
      <c r="L13" s="40">
        <v>11</v>
      </c>
      <c r="M13" s="63" t="s">
        <v>440</v>
      </c>
      <c r="N13" s="64" t="s">
        <v>1804</v>
      </c>
      <c r="O13" s="64">
        <v>11730</v>
      </c>
      <c r="Q13" s="40">
        <v>11</v>
      </c>
      <c r="R13" s="63" t="s">
        <v>56</v>
      </c>
      <c r="S13" s="64" t="s">
        <v>91</v>
      </c>
      <c r="T13" s="64">
        <v>2062</v>
      </c>
      <c r="V13" s="67">
        <v>11</v>
      </c>
      <c r="W13" s="63" t="s">
        <v>2957</v>
      </c>
      <c r="X13" s="64" t="s">
        <v>2318</v>
      </c>
      <c r="Y13" s="64">
        <v>3489</v>
      </c>
    </row>
    <row r="14" spans="1:26" ht="39" x14ac:dyDescent="0.35">
      <c r="B14" s="40">
        <v>12</v>
      </c>
      <c r="C14" s="39" t="s">
        <v>2678</v>
      </c>
      <c r="D14" s="65" t="s">
        <v>89</v>
      </c>
      <c r="E14" s="64">
        <v>10642</v>
      </c>
      <c r="G14" s="67">
        <v>12</v>
      </c>
      <c r="H14" s="8" t="s">
        <v>2680</v>
      </c>
      <c r="I14" s="64" t="s">
        <v>1379</v>
      </c>
      <c r="J14" s="64">
        <v>11446</v>
      </c>
      <c r="L14" s="40">
        <v>12</v>
      </c>
      <c r="M14" s="63" t="s">
        <v>440</v>
      </c>
      <c r="N14" s="64" t="s">
        <v>1803</v>
      </c>
      <c r="O14" s="64">
        <v>11729</v>
      </c>
      <c r="Q14" s="40">
        <v>12</v>
      </c>
      <c r="R14" s="63" t="s">
        <v>56</v>
      </c>
      <c r="S14" s="64" t="s">
        <v>94</v>
      </c>
      <c r="T14" s="64">
        <v>2063</v>
      </c>
      <c r="V14" s="67">
        <v>12</v>
      </c>
      <c r="W14" s="63" t="s">
        <v>2957</v>
      </c>
      <c r="X14" s="64" t="s">
        <v>2955</v>
      </c>
      <c r="Y14" s="64">
        <v>12062</v>
      </c>
    </row>
    <row r="15" spans="1:26" ht="39" x14ac:dyDescent="0.35">
      <c r="B15" s="40">
        <v>13</v>
      </c>
      <c r="C15" s="39" t="s">
        <v>2678</v>
      </c>
      <c r="D15" s="64" t="s">
        <v>92</v>
      </c>
      <c r="E15" s="64">
        <v>10643</v>
      </c>
      <c r="G15" s="67">
        <v>13</v>
      </c>
      <c r="H15" s="8" t="s">
        <v>2680</v>
      </c>
      <c r="I15" s="64" t="s">
        <v>1380</v>
      </c>
      <c r="J15" s="64">
        <v>11447</v>
      </c>
      <c r="L15" s="40">
        <v>13</v>
      </c>
      <c r="M15" s="63" t="s">
        <v>440</v>
      </c>
      <c r="N15" s="80" t="s">
        <v>2978</v>
      </c>
      <c r="O15" s="75">
        <v>12066</v>
      </c>
      <c r="Q15" s="40">
        <v>13</v>
      </c>
      <c r="R15" s="63" t="s">
        <v>56</v>
      </c>
      <c r="S15" s="64" t="s">
        <v>98</v>
      </c>
      <c r="T15" s="64">
        <v>2319</v>
      </c>
      <c r="V15" s="67">
        <v>13</v>
      </c>
      <c r="W15" s="63" t="s">
        <v>56</v>
      </c>
      <c r="X15" s="64" t="s">
        <v>1712</v>
      </c>
      <c r="Y15" s="64">
        <v>2047</v>
      </c>
    </row>
    <row r="16" spans="1:26" ht="26" x14ac:dyDescent="0.35">
      <c r="B16" s="40">
        <v>14</v>
      </c>
      <c r="C16" s="39" t="s">
        <v>2678</v>
      </c>
      <c r="D16" s="64" t="s">
        <v>95</v>
      </c>
      <c r="E16" s="64">
        <v>10644</v>
      </c>
      <c r="G16" s="67">
        <v>14</v>
      </c>
      <c r="H16" s="8" t="s">
        <v>2680</v>
      </c>
      <c r="I16" s="64" t="s">
        <v>430</v>
      </c>
      <c r="J16" s="64">
        <v>11448</v>
      </c>
      <c r="L16" s="40">
        <v>14</v>
      </c>
      <c r="M16" s="66" t="s">
        <v>434</v>
      </c>
      <c r="N16" s="62" t="s">
        <v>435</v>
      </c>
      <c r="O16" s="62">
        <v>11292</v>
      </c>
      <c r="Q16" s="40">
        <v>14</v>
      </c>
      <c r="R16" s="63" t="s">
        <v>56</v>
      </c>
      <c r="S16" s="64" t="s">
        <v>110</v>
      </c>
      <c r="T16" s="64">
        <v>8042</v>
      </c>
      <c r="V16" s="67">
        <v>14</v>
      </c>
      <c r="W16" s="63" t="s">
        <v>56</v>
      </c>
      <c r="X16" s="64" t="s">
        <v>1714</v>
      </c>
      <c r="Y16" s="64">
        <v>2653</v>
      </c>
    </row>
    <row r="17" spans="2:25" ht="26" x14ac:dyDescent="0.35">
      <c r="B17" s="40">
        <v>15</v>
      </c>
      <c r="C17" s="39" t="s">
        <v>2678</v>
      </c>
      <c r="D17" s="64" t="s">
        <v>99</v>
      </c>
      <c r="E17" s="64">
        <v>10647</v>
      </c>
      <c r="G17" s="67">
        <v>15</v>
      </c>
      <c r="H17" s="8" t="s">
        <v>2680</v>
      </c>
      <c r="I17" s="64" t="s">
        <v>1381</v>
      </c>
      <c r="J17" s="64">
        <v>11449</v>
      </c>
      <c r="L17" s="40">
        <v>15</v>
      </c>
      <c r="M17" s="63" t="s">
        <v>434</v>
      </c>
      <c r="N17" s="64" t="s">
        <v>1172</v>
      </c>
      <c r="O17" s="64">
        <v>11293</v>
      </c>
      <c r="Q17" s="40">
        <v>15</v>
      </c>
      <c r="R17" s="63" t="s">
        <v>56</v>
      </c>
      <c r="S17" s="64" t="s">
        <v>113</v>
      </c>
      <c r="T17" s="64">
        <v>10038</v>
      </c>
      <c r="V17" s="67">
        <v>15</v>
      </c>
      <c r="W17" s="63" t="s">
        <v>56</v>
      </c>
      <c r="X17" s="64" t="s">
        <v>1715</v>
      </c>
      <c r="Y17" s="64">
        <v>2048</v>
      </c>
    </row>
    <row r="18" spans="2:25" ht="26" x14ac:dyDescent="0.35">
      <c r="B18" s="40">
        <v>16</v>
      </c>
      <c r="C18" s="39" t="s">
        <v>2678</v>
      </c>
      <c r="D18" s="64" t="s">
        <v>103</v>
      </c>
      <c r="E18" s="64">
        <v>10648</v>
      </c>
      <c r="G18" s="67">
        <v>16</v>
      </c>
      <c r="H18" s="8" t="s">
        <v>2680</v>
      </c>
      <c r="I18" s="64" t="s">
        <v>1801</v>
      </c>
      <c r="J18" s="64">
        <v>11727</v>
      </c>
      <c r="L18" s="40">
        <v>16</v>
      </c>
      <c r="M18" s="63" t="s">
        <v>434</v>
      </c>
      <c r="N18" s="64" t="s">
        <v>1418</v>
      </c>
      <c r="O18" s="64">
        <v>11477</v>
      </c>
      <c r="Q18" s="40">
        <v>16</v>
      </c>
      <c r="R18" s="63" t="s">
        <v>56</v>
      </c>
      <c r="S18" s="64" t="s">
        <v>117</v>
      </c>
      <c r="T18" s="64">
        <v>2070</v>
      </c>
      <c r="V18" s="67">
        <v>16</v>
      </c>
      <c r="W18" s="63" t="s">
        <v>56</v>
      </c>
      <c r="X18" s="64" t="s">
        <v>1995</v>
      </c>
      <c r="Y18" s="64">
        <v>2776</v>
      </c>
    </row>
    <row r="19" spans="2:25" ht="26" x14ac:dyDescent="0.35">
      <c r="B19" s="40">
        <v>17</v>
      </c>
      <c r="C19" s="39" t="s">
        <v>2678</v>
      </c>
      <c r="D19" s="64" t="s">
        <v>107</v>
      </c>
      <c r="E19" s="64">
        <v>10649</v>
      </c>
      <c r="G19" s="67">
        <v>17</v>
      </c>
      <c r="H19" s="8" t="s">
        <v>2680</v>
      </c>
      <c r="I19" s="64" t="s">
        <v>1382</v>
      </c>
      <c r="J19" s="64">
        <v>11450</v>
      </c>
      <c r="L19" s="40">
        <v>17</v>
      </c>
      <c r="M19" s="63" t="s">
        <v>434</v>
      </c>
      <c r="N19" s="64" t="s">
        <v>1496</v>
      </c>
      <c r="O19" s="64">
        <v>11341</v>
      </c>
      <c r="Q19" s="40">
        <v>17</v>
      </c>
      <c r="R19" s="63" t="s">
        <v>56</v>
      </c>
      <c r="S19" s="64" t="s">
        <v>121</v>
      </c>
      <c r="T19" s="64">
        <v>2071</v>
      </c>
      <c r="V19" s="67">
        <v>17</v>
      </c>
      <c r="W19" s="63" t="s">
        <v>56</v>
      </c>
      <c r="X19" s="64" t="s">
        <v>1720</v>
      </c>
      <c r="Y19" s="64">
        <v>2655</v>
      </c>
    </row>
    <row r="20" spans="2:25" ht="26" x14ac:dyDescent="0.35">
      <c r="B20" s="40">
        <v>18</v>
      </c>
      <c r="C20" s="39" t="s">
        <v>2678</v>
      </c>
      <c r="D20" s="64" t="s">
        <v>111</v>
      </c>
      <c r="E20" s="64">
        <v>10650</v>
      </c>
      <c r="G20" s="67">
        <v>18</v>
      </c>
      <c r="H20" s="8" t="s">
        <v>2680</v>
      </c>
      <c r="I20" s="64" t="s">
        <v>1405</v>
      </c>
      <c r="J20" s="64">
        <v>11493</v>
      </c>
      <c r="L20" s="40">
        <v>18</v>
      </c>
      <c r="M20" s="67" t="s">
        <v>1176</v>
      </c>
      <c r="N20" s="64" t="s">
        <v>2547</v>
      </c>
      <c r="O20" s="64">
        <v>11750</v>
      </c>
      <c r="Q20" s="40">
        <v>18</v>
      </c>
      <c r="R20" s="63" t="s">
        <v>56</v>
      </c>
      <c r="S20" s="64" t="s">
        <v>126</v>
      </c>
      <c r="T20" s="64">
        <v>8066</v>
      </c>
      <c r="V20" s="67">
        <v>18</v>
      </c>
      <c r="W20" s="63" t="s">
        <v>56</v>
      </c>
      <c r="X20" s="64" t="s">
        <v>1716</v>
      </c>
      <c r="Y20" s="64">
        <v>2656</v>
      </c>
    </row>
    <row r="21" spans="2:25" ht="26" x14ac:dyDescent="0.35">
      <c r="B21" s="40">
        <v>19</v>
      </c>
      <c r="C21" s="39" t="s">
        <v>2678</v>
      </c>
      <c r="D21" s="64" t="s">
        <v>138</v>
      </c>
      <c r="E21" s="64">
        <v>11235</v>
      </c>
      <c r="G21" s="67">
        <v>19</v>
      </c>
      <c r="H21" s="8" t="s">
        <v>2680</v>
      </c>
      <c r="I21" s="64" t="s">
        <v>1383</v>
      </c>
      <c r="J21" s="64">
        <v>11451</v>
      </c>
      <c r="L21" s="40">
        <v>19</v>
      </c>
      <c r="M21" s="63" t="s">
        <v>2692</v>
      </c>
      <c r="N21" s="64" t="s">
        <v>1016</v>
      </c>
      <c r="O21" s="64">
        <v>10714</v>
      </c>
      <c r="Q21" s="40">
        <v>19</v>
      </c>
      <c r="R21" s="63" t="s">
        <v>56</v>
      </c>
      <c r="S21" s="64" t="s">
        <v>130</v>
      </c>
      <c r="T21" s="64">
        <v>8152</v>
      </c>
      <c r="V21" s="67">
        <v>19</v>
      </c>
      <c r="W21" s="63" t="s">
        <v>56</v>
      </c>
      <c r="X21" s="64" t="s">
        <v>1717</v>
      </c>
      <c r="Y21" s="64">
        <v>2658</v>
      </c>
    </row>
    <row r="22" spans="2:25" ht="26" x14ac:dyDescent="0.35">
      <c r="B22" s="40">
        <v>20</v>
      </c>
      <c r="C22" s="39" t="s">
        <v>2678</v>
      </c>
      <c r="D22" s="64" t="s">
        <v>114</v>
      </c>
      <c r="E22" s="64">
        <v>10651</v>
      </c>
      <c r="G22" s="67">
        <v>20</v>
      </c>
      <c r="H22" s="8" t="s">
        <v>2680</v>
      </c>
      <c r="I22" s="64" t="s">
        <v>2624</v>
      </c>
      <c r="J22" s="64">
        <v>11810</v>
      </c>
      <c r="L22" s="40">
        <v>20</v>
      </c>
      <c r="M22" s="63" t="s">
        <v>2692</v>
      </c>
      <c r="N22" s="64" t="s">
        <v>1020</v>
      </c>
      <c r="O22" s="64">
        <v>11229</v>
      </c>
      <c r="Q22" s="40">
        <v>20</v>
      </c>
      <c r="R22" s="63" t="s">
        <v>56</v>
      </c>
      <c r="S22" s="64" t="s">
        <v>133</v>
      </c>
      <c r="T22" s="64">
        <v>2073</v>
      </c>
      <c r="V22" s="67">
        <v>20</v>
      </c>
      <c r="W22" s="63" t="s">
        <v>56</v>
      </c>
      <c r="X22" s="64" t="s">
        <v>1721</v>
      </c>
      <c r="Y22" s="64">
        <v>8164</v>
      </c>
    </row>
    <row r="23" spans="2:25" ht="26" x14ac:dyDescent="0.35">
      <c r="B23" s="40">
        <v>21</v>
      </c>
      <c r="C23" s="39" t="s">
        <v>2867</v>
      </c>
      <c r="D23" s="64" t="s">
        <v>118</v>
      </c>
      <c r="E23" s="64">
        <v>10652</v>
      </c>
      <c r="G23" s="67">
        <v>21</v>
      </c>
      <c r="H23" s="8" t="s">
        <v>2680</v>
      </c>
      <c r="I23" s="64" t="s">
        <v>1800</v>
      </c>
      <c r="J23" s="64">
        <v>11726</v>
      </c>
      <c r="L23" s="40">
        <v>21</v>
      </c>
      <c r="M23" s="63" t="s">
        <v>2692</v>
      </c>
      <c r="N23" s="64" t="s">
        <v>1022</v>
      </c>
      <c r="O23" s="64">
        <v>11295</v>
      </c>
      <c r="Q23" s="40">
        <v>21</v>
      </c>
      <c r="R23" s="63" t="s">
        <v>56</v>
      </c>
      <c r="S23" s="64" t="s">
        <v>137</v>
      </c>
      <c r="T23" s="64">
        <v>2094</v>
      </c>
      <c r="V23" s="67">
        <v>21</v>
      </c>
      <c r="W23" s="63" t="s">
        <v>56</v>
      </c>
      <c r="X23" s="64" t="s">
        <v>1718</v>
      </c>
      <c r="Y23" s="64">
        <v>2660</v>
      </c>
    </row>
    <row r="24" spans="2:25" ht="26" x14ac:dyDescent="0.35">
      <c r="B24" s="40">
        <v>22</v>
      </c>
      <c r="C24" s="39" t="s">
        <v>2678</v>
      </c>
      <c r="D24" s="64" t="s">
        <v>123</v>
      </c>
      <c r="E24" s="64">
        <v>10653</v>
      </c>
      <c r="G24" s="67">
        <v>22</v>
      </c>
      <c r="H24" s="8" t="s">
        <v>2680</v>
      </c>
      <c r="I24" s="64" t="s">
        <v>1385</v>
      </c>
      <c r="J24" s="64">
        <v>11453</v>
      </c>
      <c r="L24" s="40">
        <v>22</v>
      </c>
      <c r="M24" s="63" t="s">
        <v>2692</v>
      </c>
      <c r="N24" s="64" t="s">
        <v>1023</v>
      </c>
      <c r="O24" s="64">
        <v>11296</v>
      </c>
      <c r="Q24" s="40">
        <v>22</v>
      </c>
      <c r="R24" s="63" t="s">
        <v>56</v>
      </c>
      <c r="S24" s="64" t="s">
        <v>141</v>
      </c>
      <c r="T24" s="64">
        <v>9995</v>
      </c>
      <c r="V24" s="67">
        <v>22</v>
      </c>
      <c r="W24" s="63" t="s">
        <v>56</v>
      </c>
      <c r="X24" s="64" t="s">
        <v>1722</v>
      </c>
      <c r="Y24" s="64">
        <v>3203</v>
      </c>
    </row>
    <row r="25" spans="2:25" ht="26" x14ac:dyDescent="0.35">
      <c r="B25" s="40">
        <v>23</v>
      </c>
      <c r="C25" s="39" t="s">
        <v>2678</v>
      </c>
      <c r="D25" s="64" t="s">
        <v>127</v>
      </c>
      <c r="E25" s="64">
        <v>10654</v>
      </c>
      <c r="G25" s="67">
        <v>23</v>
      </c>
      <c r="H25" s="8" t="s">
        <v>2680</v>
      </c>
      <c r="I25" s="64" t="s">
        <v>1384</v>
      </c>
      <c r="J25" s="64">
        <v>11452</v>
      </c>
      <c r="L25" s="40">
        <v>23</v>
      </c>
      <c r="M25" s="63" t="s">
        <v>2692</v>
      </c>
      <c r="N25" s="64" t="s">
        <v>1025</v>
      </c>
      <c r="O25" s="64">
        <v>11300</v>
      </c>
      <c r="Q25" s="40">
        <v>23</v>
      </c>
      <c r="R25" s="63" t="s">
        <v>56</v>
      </c>
      <c r="S25" s="64" t="s">
        <v>144</v>
      </c>
      <c r="T25" s="64">
        <v>10563</v>
      </c>
      <c r="V25" s="67">
        <v>23</v>
      </c>
      <c r="W25" s="63" t="s">
        <v>56</v>
      </c>
      <c r="X25" s="64" t="s">
        <v>1723</v>
      </c>
      <c r="Y25" s="64">
        <v>2664</v>
      </c>
    </row>
    <row r="26" spans="2:25" ht="26" x14ac:dyDescent="0.35">
      <c r="B26" s="40">
        <v>24</v>
      </c>
      <c r="C26" s="39" t="s">
        <v>2678</v>
      </c>
      <c r="D26" s="64" t="s">
        <v>131</v>
      </c>
      <c r="E26" s="64">
        <v>10655</v>
      </c>
      <c r="G26" s="67">
        <v>24</v>
      </c>
      <c r="H26" s="8" t="s">
        <v>2680</v>
      </c>
      <c r="I26" s="64" t="s">
        <v>1386</v>
      </c>
      <c r="J26" s="64">
        <v>11454</v>
      </c>
      <c r="L26" s="40">
        <v>24</v>
      </c>
      <c r="M26" s="63" t="s">
        <v>2692</v>
      </c>
      <c r="N26" s="64" t="s">
        <v>1033</v>
      </c>
      <c r="O26" s="64">
        <v>10718</v>
      </c>
      <c r="Q26" s="40">
        <v>24</v>
      </c>
      <c r="R26" s="63" t="s">
        <v>56</v>
      </c>
      <c r="S26" s="64" t="s">
        <v>148</v>
      </c>
      <c r="T26" s="64">
        <v>8125</v>
      </c>
      <c r="V26" s="67">
        <v>24</v>
      </c>
      <c r="W26" s="63" t="s">
        <v>56</v>
      </c>
      <c r="X26" s="64" t="s">
        <v>2261</v>
      </c>
      <c r="Y26" s="64">
        <v>8263</v>
      </c>
    </row>
    <row r="27" spans="2:25" ht="26" x14ac:dyDescent="0.35">
      <c r="B27" s="40">
        <v>25</v>
      </c>
      <c r="C27" s="39" t="s">
        <v>2678</v>
      </c>
      <c r="D27" s="64" t="s">
        <v>134</v>
      </c>
      <c r="E27" s="62">
        <v>10656</v>
      </c>
      <c r="G27" s="67">
        <v>25</v>
      </c>
      <c r="H27" s="8" t="s">
        <v>2680</v>
      </c>
      <c r="I27" s="64" t="s">
        <v>1175</v>
      </c>
      <c r="J27" s="64">
        <v>11248</v>
      </c>
      <c r="L27" s="40">
        <v>25</v>
      </c>
      <c r="M27" s="63" t="s">
        <v>2692</v>
      </c>
      <c r="N27" s="64" t="s">
        <v>1037</v>
      </c>
      <c r="O27" s="64">
        <v>10719</v>
      </c>
      <c r="Q27" s="40">
        <v>25</v>
      </c>
      <c r="R27" s="63" t="s">
        <v>56</v>
      </c>
      <c r="S27" s="64" t="s">
        <v>152</v>
      </c>
      <c r="T27" s="64">
        <v>10549</v>
      </c>
      <c r="V27" s="67">
        <v>25</v>
      </c>
      <c r="W27" s="63" t="s">
        <v>56</v>
      </c>
      <c r="X27" s="64" t="s">
        <v>122</v>
      </c>
      <c r="Y27" s="64">
        <v>2665</v>
      </c>
    </row>
    <row r="28" spans="2:25" ht="26" x14ac:dyDescent="0.35">
      <c r="B28" s="40">
        <v>26</v>
      </c>
      <c r="C28" s="39" t="s">
        <v>2678</v>
      </c>
      <c r="D28" s="64" t="s">
        <v>2625</v>
      </c>
      <c r="E28" s="62">
        <v>11811</v>
      </c>
      <c r="G28" s="67">
        <v>26</v>
      </c>
      <c r="H28" s="8" t="s">
        <v>2680</v>
      </c>
      <c r="I28" s="64" t="s">
        <v>1388</v>
      </c>
      <c r="J28" s="64">
        <v>11457</v>
      </c>
      <c r="L28" s="40">
        <v>26</v>
      </c>
      <c r="M28" s="63" t="s">
        <v>2692</v>
      </c>
      <c r="N28" s="64" t="s">
        <v>1039</v>
      </c>
      <c r="O28" s="64">
        <v>11231</v>
      </c>
      <c r="Q28" s="40">
        <v>26</v>
      </c>
      <c r="R28" s="63" t="s">
        <v>56</v>
      </c>
      <c r="S28" s="64" t="s">
        <v>156</v>
      </c>
      <c r="T28" s="64">
        <v>2498</v>
      </c>
      <c r="V28" s="67">
        <v>26</v>
      </c>
      <c r="W28" s="63" t="s">
        <v>56</v>
      </c>
      <c r="X28" s="64" t="s">
        <v>1725</v>
      </c>
      <c r="Y28" s="64">
        <v>3204</v>
      </c>
    </row>
    <row r="29" spans="2:25" ht="26" x14ac:dyDescent="0.35">
      <c r="B29" s="40">
        <v>27</v>
      </c>
      <c r="C29" s="39" t="s">
        <v>2678</v>
      </c>
      <c r="D29" s="64" t="s">
        <v>2559</v>
      </c>
      <c r="E29" s="64">
        <v>10657</v>
      </c>
      <c r="G29" s="67">
        <v>27</v>
      </c>
      <c r="H29" s="8" t="s">
        <v>2680</v>
      </c>
      <c r="I29" s="64" t="s">
        <v>1389</v>
      </c>
      <c r="J29" s="64">
        <v>11458</v>
      </c>
      <c r="L29" s="40">
        <v>27</v>
      </c>
      <c r="M29" s="63" t="s">
        <v>2692</v>
      </c>
      <c r="N29" s="64" t="s">
        <v>1041</v>
      </c>
      <c r="O29" s="64">
        <v>11362</v>
      </c>
      <c r="Q29" s="40">
        <v>27</v>
      </c>
      <c r="R29" s="63" t="s">
        <v>56</v>
      </c>
      <c r="S29" s="64" t="s">
        <v>159</v>
      </c>
      <c r="T29" s="64">
        <v>2085</v>
      </c>
      <c r="V29" s="67">
        <v>27</v>
      </c>
      <c r="W29" s="63" t="s">
        <v>56</v>
      </c>
      <c r="X29" s="64" t="s">
        <v>1727</v>
      </c>
      <c r="Y29" s="64">
        <v>2054</v>
      </c>
    </row>
    <row r="30" spans="2:25" ht="26" x14ac:dyDescent="0.35">
      <c r="B30" s="40">
        <v>28</v>
      </c>
      <c r="C30" s="39" t="s">
        <v>2678</v>
      </c>
      <c r="D30" s="64" t="s">
        <v>145</v>
      </c>
      <c r="E30" s="64">
        <v>11340</v>
      </c>
      <c r="G30" s="67">
        <v>28</v>
      </c>
      <c r="H30" s="8" t="s">
        <v>2680</v>
      </c>
      <c r="I30" s="64" t="s">
        <v>1390</v>
      </c>
      <c r="J30" s="64">
        <v>11459</v>
      </c>
      <c r="L30" s="40">
        <v>28</v>
      </c>
      <c r="M30" s="63" t="s">
        <v>2692</v>
      </c>
      <c r="N30" s="64" t="s">
        <v>1043</v>
      </c>
      <c r="O30" s="64">
        <v>11298</v>
      </c>
      <c r="Q30" s="40">
        <v>28</v>
      </c>
      <c r="R30" s="63" t="s">
        <v>56</v>
      </c>
      <c r="S30" s="64" t="s">
        <v>163</v>
      </c>
      <c r="T30" s="64">
        <v>8105</v>
      </c>
      <c r="V30" s="67">
        <v>28</v>
      </c>
      <c r="W30" s="63" t="s">
        <v>56</v>
      </c>
      <c r="X30" s="64" t="s">
        <v>1728</v>
      </c>
      <c r="Y30" s="64">
        <v>2666</v>
      </c>
    </row>
    <row r="31" spans="2:25" ht="26" x14ac:dyDescent="0.35">
      <c r="B31" s="40">
        <v>29</v>
      </c>
      <c r="C31" s="39" t="s">
        <v>2678</v>
      </c>
      <c r="D31" s="64" t="s">
        <v>149</v>
      </c>
      <c r="E31" s="64">
        <v>10658</v>
      </c>
      <c r="G31" s="67">
        <v>29</v>
      </c>
      <c r="H31" s="8" t="s">
        <v>2680</v>
      </c>
      <c r="I31" s="64" t="s">
        <v>1391</v>
      </c>
      <c r="J31" s="64">
        <v>11460</v>
      </c>
      <c r="L31" s="40">
        <v>29</v>
      </c>
      <c r="M31" s="63" t="s">
        <v>2692</v>
      </c>
      <c r="N31" s="64" t="s">
        <v>1053</v>
      </c>
      <c r="O31" s="64">
        <v>11245</v>
      </c>
      <c r="Q31" s="40">
        <v>29</v>
      </c>
      <c r="R31" s="63" t="s">
        <v>56</v>
      </c>
      <c r="S31" s="64" t="s">
        <v>167</v>
      </c>
      <c r="T31" s="64">
        <v>2086</v>
      </c>
      <c r="V31" s="67">
        <v>29</v>
      </c>
      <c r="W31" s="63" t="s">
        <v>56</v>
      </c>
      <c r="X31" s="64" t="s">
        <v>1726</v>
      </c>
      <c r="Y31" s="64">
        <v>8192</v>
      </c>
    </row>
    <row r="32" spans="2:25" ht="26" x14ac:dyDescent="0.35">
      <c r="B32" s="40">
        <v>30</v>
      </c>
      <c r="C32" s="39" t="s">
        <v>2678</v>
      </c>
      <c r="D32" s="64" t="s">
        <v>153</v>
      </c>
      <c r="E32" s="64">
        <v>10659</v>
      </c>
      <c r="G32" s="67">
        <v>30</v>
      </c>
      <c r="H32" s="8" t="s">
        <v>2680</v>
      </c>
      <c r="I32" s="64" t="s">
        <v>478</v>
      </c>
      <c r="J32" s="64">
        <v>11456</v>
      </c>
      <c r="L32" s="40">
        <v>30</v>
      </c>
      <c r="M32" s="63" t="s">
        <v>2692</v>
      </c>
      <c r="N32" s="64" t="s">
        <v>1055</v>
      </c>
      <c r="O32" s="64">
        <v>11234</v>
      </c>
      <c r="Q32" s="40">
        <v>30</v>
      </c>
      <c r="R32" s="63" t="s">
        <v>56</v>
      </c>
      <c r="S32" s="64" t="s">
        <v>170</v>
      </c>
      <c r="T32" s="64">
        <v>2087</v>
      </c>
      <c r="V32" s="67">
        <v>30</v>
      </c>
      <c r="W32" s="63" t="s">
        <v>56</v>
      </c>
      <c r="X32" s="64" t="s">
        <v>2416</v>
      </c>
      <c r="Y32" s="64">
        <v>10160</v>
      </c>
    </row>
    <row r="33" spans="2:25" ht="26" x14ac:dyDescent="0.35">
      <c r="B33" s="40">
        <v>31</v>
      </c>
      <c r="C33" s="39" t="s">
        <v>2678</v>
      </c>
      <c r="D33" s="64" t="s">
        <v>157</v>
      </c>
      <c r="E33" s="64">
        <v>10660</v>
      </c>
      <c r="G33" s="67">
        <v>31</v>
      </c>
      <c r="H33" s="8" t="s">
        <v>2680</v>
      </c>
      <c r="I33" s="64" t="s">
        <v>882</v>
      </c>
      <c r="J33" s="64">
        <v>11464</v>
      </c>
      <c r="L33" s="40">
        <v>31</v>
      </c>
      <c r="M33" s="63" t="s">
        <v>2692</v>
      </c>
      <c r="N33" s="64" t="s">
        <v>1058</v>
      </c>
      <c r="O33" s="64">
        <v>11217</v>
      </c>
      <c r="Q33" s="40">
        <v>31</v>
      </c>
      <c r="R33" s="63" t="s">
        <v>56</v>
      </c>
      <c r="S33" s="64" t="s">
        <v>174</v>
      </c>
      <c r="T33" s="64">
        <v>2088</v>
      </c>
      <c r="V33" s="67">
        <v>31</v>
      </c>
      <c r="W33" s="63" t="s">
        <v>56</v>
      </c>
      <c r="X33" s="64" t="s">
        <v>1730</v>
      </c>
      <c r="Y33" s="64">
        <v>3205</v>
      </c>
    </row>
    <row r="34" spans="2:25" ht="26" x14ac:dyDescent="0.35">
      <c r="B34" s="40">
        <v>32</v>
      </c>
      <c r="C34" s="39" t="s">
        <v>2678</v>
      </c>
      <c r="D34" s="64" t="s">
        <v>160</v>
      </c>
      <c r="E34" s="64">
        <v>10661</v>
      </c>
      <c r="G34" s="67">
        <v>32</v>
      </c>
      <c r="H34" s="8" t="s">
        <v>2680</v>
      </c>
      <c r="I34" s="64" t="s">
        <v>1392</v>
      </c>
      <c r="J34" s="64">
        <v>11461</v>
      </c>
      <c r="L34" s="40">
        <v>32</v>
      </c>
      <c r="M34" s="63" t="s">
        <v>2692</v>
      </c>
      <c r="N34" s="64" t="s">
        <v>1060</v>
      </c>
      <c r="O34" s="64">
        <v>10725</v>
      </c>
      <c r="Q34" s="40">
        <v>32</v>
      </c>
      <c r="R34" s="63" t="s">
        <v>56</v>
      </c>
      <c r="S34" s="64" t="s">
        <v>177</v>
      </c>
      <c r="T34" s="64">
        <v>2089</v>
      </c>
      <c r="V34" s="67">
        <v>32</v>
      </c>
      <c r="W34" s="63" t="s">
        <v>56</v>
      </c>
      <c r="X34" s="64" t="s">
        <v>1731</v>
      </c>
      <c r="Y34" s="64">
        <v>2669</v>
      </c>
    </row>
    <row r="35" spans="2:25" ht="26" x14ac:dyDescent="0.35">
      <c r="B35" s="40">
        <v>33</v>
      </c>
      <c r="C35" s="39" t="s">
        <v>2678</v>
      </c>
      <c r="D35" s="64" t="s">
        <v>2558</v>
      </c>
      <c r="E35" s="64">
        <v>10666</v>
      </c>
      <c r="G35" s="67">
        <v>33</v>
      </c>
      <c r="H35" s="8" t="s">
        <v>2680</v>
      </c>
      <c r="I35" s="64" t="s">
        <v>1393</v>
      </c>
      <c r="J35" s="64">
        <v>11462</v>
      </c>
      <c r="L35" s="40">
        <v>33</v>
      </c>
      <c r="M35" s="63" t="s">
        <v>2692</v>
      </c>
      <c r="N35" s="64" t="s">
        <v>1064</v>
      </c>
      <c r="O35" s="64">
        <v>10726</v>
      </c>
      <c r="Q35" s="40">
        <v>33</v>
      </c>
      <c r="R35" s="63" t="s">
        <v>56</v>
      </c>
      <c r="S35" s="64" t="s">
        <v>179</v>
      </c>
      <c r="T35" s="64">
        <v>8021</v>
      </c>
      <c r="V35" s="67">
        <v>33</v>
      </c>
      <c r="W35" s="63" t="s">
        <v>56</v>
      </c>
      <c r="X35" s="64" t="s">
        <v>1732</v>
      </c>
      <c r="Y35" s="64">
        <v>10234</v>
      </c>
    </row>
    <row r="36" spans="2:25" ht="26" x14ac:dyDescent="0.35">
      <c r="B36" s="40">
        <v>34</v>
      </c>
      <c r="C36" s="39" t="s">
        <v>2678</v>
      </c>
      <c r="D36" s="64" t="s">
        <v>164</v>
      </c>
      <c r="E36" s="64">
        <v>10662</v>
      </c>
      <c r="G36" s="67">
        <v>34</v>
      </c>
      <c r="H36" s="8" t="s">
        <v>2680</v>
      </c>
      <c r="I36" s="64" t="s">
        <v>1516</v>
      </c>
      <c r="J36" s="64">
        <v>11550</v>
      </c>
      <c r="L36" s="40">
        <v>34</v>
      </c>
      <c r="M36" s="63" t="s">
        <v>2692</v>
      </c>
      <c r="N36" s="64" t="s">
        <v>1066</v>
      </c>
      <c r="O36" s="64">
        <v>11299</v>
      </c>
      <c r="Q36" s="40">
        <v>34</v>
      </c>
      <c r="R36" s="63" t="s">
        <v>56</v>
      </c>
      <c r="S36" s="64" t="s">
        <v>183</v>
      </c>
      <c r="T36" s="64">
        <v>2096</v>
      </c>
      <c r="V36" s="67">
        <v>34</v>
      </c>
      <c r="W36" s="63" t="s">
        <v>56</v>
      </c>
      <c r="X36" s="64" t="s">
        <v>1733</v>
      </c>
      <c r="Y36" s="64">
        <v>3206</v>
      </c>
    </row>
    <row r="37" spans="2:25" ht="26" x14ac:dyDescent="0.35">
      <c r="B37" s="40">
        <v>35</v>
      </c>
      <c r="C37" s="39" t="s">
        <v>2678</v>
      </c>
      <c r="D37" s="64" t="s">
        <v>2786</v>
      </c>
      <c r="E37" s="64">
        <v>11888</v>
      </c>
      <c r="G37" s="67">
        <v>35</v>
      </c>
      <c r="H37" s="8" t="s">
        <v>2680</v>
      </c>
      <c r="I37" s="64" t="s">
        <v>1394</v>
      </c>
      <c r="J37" s="64">
        <v>11463</v>
      </c>
      <c r="L37" s="40">
        <v>35</v>
      </c>
      <c r="M37" s="63" t="s">
        <v>2682</v>
      </c>
      <c r="N37" s="64" t="s">
        <v>885</v>
      </c>
      <c r="O37" s="64">
        <v>10727</v>
      </c>
      <c r="Q37" s="40">
        <v>35</v>
      </c>
      <c r="R37" s="63" t="s">
        <v>56</v>
      </c>
      <c r="S37" s="64" t="s">
        <v>187</v>
      </c>
      <c r="T37" s="64">
        <v>9965</v>
      </c>
      <c r="V37" s="67">
        <v>35</v>
      </c>
      <c r="W37" s="63" t="s">
        <v>56</v>
      </c>
      <c r="X37" s="64" t="s">
        <v>1734</v>
      </c>
      <c r="Y37" s="64">
        <v>10235</v>
      </c>
    </row>
    <row r="38" spans="2:25" ht="26" x14ac:dyDescent="0.35">
      <c r="B38" s="40">
        <v>36</v>
      </c>
      <c r="C38" s="39" t="s">
        <v>2678</v>
      </c>
      <c r="D38" s="64" t="s">
        <v>168</v>
      </c>
      <c r="E38" s="64">
        <v>10663</v>
      </c>
      <c r="G38" s="67">
        <v>36</v>
      </c>
      <c r="H38" s="8" t="s">
        <v>2680</v>
      </c>
      <c r="I38" s="64" t="s">
        <v>1517</v>
      </c>
      <c r="J38" s="64">
        <v>11551</v>
      </c>
      <c r="L38" s="40">
        <v>36</v>
      </c>
      <c r="M38" s="63" t="s">
        <v>2682</v>
      </c>
      <c r="N38" s="64" t="s">
        <v>886</v>
      </c>
      <c r="O38" s="64">
        <v>10728</v>
      </c>
      <c r="Q38" s="40">
        <v>36</v>
      </c>
      <c r="R38" s="63" t="s">
        <v>56</v>
      </c>
      <c r="S38" s="64" t="s">
        <v>190</v>
      </c>
      <c r="T38" s="64">
        <v>2696</v>
      </c>
      <c r="V38" s="67">
        <v>36</v>
      </c>
      <c r="W38" s="63" t="s">
        <v>56</v>
      </c>
      <c r="X38" s="64" t="s">
        <v>1735</v>
      </c>
      <c r="Y38" s="64">
        <v>2670</v>
      </c>
    </row>
    <row r="39" spans="2:25" ht="26" x14ac:dyDescent="0.35">
      <c r="B39" s="40">
        <v>37</v>
      </c>
      <c r="C39" s="39" t="s">
        <v>2678</v>
      </c>
      <c r="D39" s="64" t="s">
        <v>2561</v>
      </c>
      <c r="E39" s="64">
        <v>11759</v>
      </c>
      <c r="G39" s="67">
        <v>37</v>
      </c>
      <c r="H39" s="8" t="s">
        <v>2680</v>
      </c>
      <c r="I39" s="64" t="s">
        <v>1518</v>
      </c>
      <c r="J39" s="64">
        <v>11552</v>
      </c>
      <c r="L39" s="40">
        <v>37</v>
      </c>
      <c r="M39" s="63" t="s">
        <v>2682</v>
      </c>
      <c r="N39" s="64" t="s">
        <v>892</v>
      </c>
      <c r="O39" s="64">
        <v>10731</v>
      </c>
      <c r="Q39" s="40">
        <v>37</v>
      </c>
      <c r="R39" s="63" t="s">
        <v>56</v>
      </c>
      <c r="S39" s="64" t="s">
        <v>193</v>
      </c>
      <c r="T39" s="64">
        <v>10102</v>
      </c>
      <c r="V39" s="67">
        <v>37</v>
      </c>
      <c r="W39" s="63" t="s">
        <v>56</v>
      </c>
      <c r="X39" s="64" t="s">
        <v>1719</v>
      </c>
      <c r="Y39" s="64">
        <v>3202</v>
      </c>
    </row>
    <row r="40" spans="2:25" ht="26" x14ac:dyDescent="0.35">
      <c r="B40" s="40">
        <v>38</v>
      </c>
      <c r="C40" s="39" t="s">
        <v>2678</v>
      </c>
      <c r="D40" s="64" t="s">
        <v>171</v>
      </c>
      <c r="E40" s="64">
        <v>10664</v>
      </c>
      <c r="G40" s="67">
        <v>38</v>
      </c>
      <c r="H40" s="8" t="s">
        <v>2680</v>
      </c>
      <c r="I40" s="64" t="s">
        <v>1807</v>
      </c>
      <c r="J40" s="64">
        <v>11733</v>
      </c>
      <c r="L40" s="40">
        <v>38</v>
      </c>
      <c r="M40" s="63" t="s">
        <v>2682</v>
      </c>
      <c r="N40" s="64" t="s">
        <v>894</v>
      </c>
      <c r="O40" s="64">
        <v>10732</v>
      </c>
      <c r="Q40" s="40">
        <v>38</v>
      </c>
      <c r="R40" s="63" t="s">
        <v>56</v>
      </c>
      <c r="S40" s="64" t="s">
        <v>196</v>
      </c>
      <c r="T40" s="64">
        <v>2102</v>
      </c>
      <c r="V40" s="67">
        <v>38</v>
      </c>
      <c r="W40" s="63" t="s">
        <v>56</v>
      </c>
      <c r="X40" s="64" t="s">
        <v>1737</v>
      </c>
      <c r="Y40" s="64">
        <v>3208</v>
      </c>
    </row>
    <row r="41" spans="2:25" ht="26" x14ac:dyDescent="0.35">
      <c r="B41" s="40">
        <v>39</v>
      </c>
      <c r="C41" s="39" t="s">
        <v>2678</v>
      </c>
      <c r="D41" s="64" t="s">
        <v>175</v>
      </c>
      <c r="E41" s="64">
        <v>10665</v>
      </c>
      <c r="G41" s="67">
        <v>39</v>
      </c>
      <c r="H41" s="8" t="s">
        <v>2680</v>
      </c>
      <c r="I41" s="64" t="s">
        <v>1395</v>
      </c>
      <c r="J41" s="64">
        <v>11465</v>
      </c>
      <c r="L41" s="40">
        <v>39</v>
      </c>
      <c r="M41" s="63" t="s">
        <v>2682</v>
      </c>
      <c r="N41" s="64" t="s">
        <v>896</v>
      </c>
      <c r="O41" s="64">
        <v>10733</v>
      </c>
      <c r="Q41" s="40">
        <v>39</v>
      </c>
      <c r="R41" s="63" t="s">
        <v>56</v>
      </c>
      <c r="S41" s="64" t="s">
        <v>199</v>
      </c>
      <c r="T41" s="64">
        <v>2103</v>
      </c>
      <c r="V41" s="67">
        <v>39</v>
      </c>
      <c r="W41" s="63" t="s">
        <v>56</v>
      </c>
      <c r="X41" s="64" t="s">
        <v>1738</v>
      </c>
      <c r="Y41" s="64">
        <v>8214</v>
      </c>
    </row>
    <row r="42" spans="2:25" ht="26" x14ac:dyDescent="0.35">
      <c r="B42" s="40">
        <v>40</v>
      </c>
      <c r="C42" s="8" t="s">
        <v>2679</v>
      </c>
      <c r="D42" s="65" t="s">
        <v>180</v>
      </c>
      <c r="E42" s="64">
        <v>10645</v>
      </c>
      <c r="G42" s="67">
        <v>40</v>
      </c>
      <c r="H42" s="8" t="s">
        <v>2680</v>
      </c>
      <c r="I42" s="64" t="s">
        <v>1396</v>
      </c>
      <c r="J42" s="64">
        <v>11466</v>
      </c>
      <c r="L42" s="40">
        <v>40</v>
      </c>
      <c r="M42" s="63" t="s">
        <v>2682</v>
      </c>
      <c r="N42" s="64" t="s">
        <v>904</v>
      </c>
      <c r="O42" s="64">
        <v>10737</v>
      </c>
      <c r="Q42" s="40">
        <v>40</v>
      </c>
      <c r="R42" s="63" t="s">
        <v>56</v>
      </c>
      <c r="S42" s="64" t="s">
        <v>202</v>
      </c>
      <c r="T42" s="64">
        <v>2104</v>
      </c>
      <c r="V42" s="67">
        <v>40</v>
      </c>
      <c r="W42" s="63" t="s">
        <v>56</v>
      </c>
      <c r="X42" s="64" t="s">
        <v>1739</v>
      </c>
      <c r="Y42" s="64">
        <v>10333</v>
      </c>
    </row>
    <row r="43" spans="2:25" ht="26" x14ac:dyDescent="0.35">
      <c r="B43" s="40">
        <v>41</v>
      </c>
      <c r="C43" s="8" t="s">
        <v>2680</v>
      </c>
      <c r="D43" s="65" t="s">
        <v>184</v>
      </c>
      <c r="E43" s="64">
        <v>10646</v>
      </c>
      <c r="G43" s="67">
        <v>41</v>
      </c>
      <c r="H43" s="8" t="s">
        <v>2680</v>
      </c>
      <c r="I43" s="64" t="s">
        <v>2697</v>
      </c>
      <c r="J43" s="64">
        <v>11861</v>
      </c>
      <c r="L43" s="40">
        <v>41</v>
      </c>
      <c r="M43" s="63" t="s">
        <v>2682</v>
      </c>
      <c r="N43" s="64" t="s">
        <v>911</v>
      </c>
      <c r="O43" s="64">
        <v>10740</v>
      </c>
      <c r="Q43" s="40">
        <v>41</v>
      </c>
      <c r="R43" s="63" t="s">
        <v>56</v>
      </c>
      <c r="S43" s="64" t="s">
        <v>204</v>
      </c>
      <c r="T43" s="64">
        <v>10059</v>
      </c>
      <c r="V43" s="67">
        <v>41</v>
      </c>
      <c r="W43" s="63" t="s">
        <v>56</v>
      </c>
      <c r="X43" s="64" t="s">
        <v>1736</v>
      </c>
      <c r="Y43" s="64">
        <v>10609</v>
      </c>
    </row>
    <row r="44" spans="2:25" ht="26" x14ac:dyDescent="0.35">
      <c r="B44" s="40">
        <v>42</v>
      </c>
      <c r="C44" s="8" t="s">
        <v>2680</v>
      </c>
      <c r="D44" s="65" t="s">
        <v>1173</v>
      </c>
      <c r="E44" s="64">
        <v>11108</v>
      </c>
      <c r="G44" s="67">
        <v>42</v>
      </c>
      <c r="H44" s="8" t="s">
        <v>2680</v>
      </c>
      <c r="I44" s="64" t="s">
        <v>1397</v>
      </c>
      <c r="J44" s="64">
        <v>11467</v>
      </c>
      <c r="L44" s="40">
        <v>42</v>
      </c>
      <c r="M44" s="63" t="s">
        <v>2682</v>
      </c>
      <c r="N44" s="64" t="s">
        <v>913</v>
      </c>
      <c r="O44" s="64">
        <v>10741</v>
      </c>
      <c r="Q44" s="40">
        <v>42</v>
      </c>
      <c r="R44" s="63" t="s">
        <v>56</v>
      </c>
      <c r="S44" s="64" t="s">
        <v>207</v>
      </c>
      <c r="T44" s="64">
        <v>2107</v>
      </c>
      <c r="V44" s="67">
        <v>42</v>
      </c>
      <c r="W44" s="63" t="s">
        <v>56</v>
      </c>
      <c r="X44" s="64" t="s">
        <v>1741</v>
      </c>
      <c r="Y44" s="64">
        <v>2672</v>
      </c>
    </row>
    <row r="45" spans="2:25" ht="26" x14ac:dyDescent="0.35">
      <c r="B45" s="40">
        <v>43</v>
      </c>
      <c r="C45" s="8" t="s">
        <v>2680</v>
      </c>
      <c r="D45" s="65" t="s">
        <v>1346</v>
      </c>
      <c r="E45" s="64">
        <v>11358</v>
      </c>
      <c r="G45" s="67">
        <v>43</v>
      </c>
      <c r="H45" s="8" t="s">
        <v>2680</v>
      </c>
      <c r="I45" s="64" t="s">
        <v>1067</v>
      </c>
      <c r="J45" s="64">
        <v>11468</v>
      </c>
      <c r="L45" s="40">
        <v>43</v>
      </c>
      <c r="M45" s="63" t="s">
        <v>2682</v>
      </c>
      <c r="N45" s="64" t="s">
        <v>915</v>
      </c>
      <c r="O45" s="64">
        <v>10742</v>
      </c>
      <c r="Q45" s="40">
        <v>43</v>
      </c>
      <c r="R45" s="63" t="s">
        <v>56</v>
      </c>
      <c r="S45" s="64" t="s">
        <v>210</v>
      </c>
      <c r="T45" s="64">
        <v>2109</v>
      </c>
      <c r="V45" s="67">
        <v>43</v>
      </c>
      <c r="W45" s="63" t="s">
        <v>56</v>
      </c>
      <c r="X45" s="64" t="s">
        <v>1743</v>
      </c>
      <c r="Y45" s="64">
        <v>3209</v>
      </c>
    </row>
    <row r="46" spans="2:25" ht="26" x14ac:dyDescent="0.35">
      <c r="G46" s="67">
        <v>44</v>
      </c>
      <c r="H46" s="8" t="s">
        <v>2680</v>
      </c>
      <c r="I46" s="64" t="s">
        <v>1373</v>
      </c>
      <c r="J46" s="64">
        <v>11469</v>
      </c>
      <c r="L46" s="40">
        <v>44</v>
      </c>
      <c r="M46" s="63" t="s">
        <v>2682</v>
      </c>
      <c r="N46" s="64" t="s">
        <v>917</v>
      </c>
      <c r="O46" s="64">
        <v>10743</v>
      </c>
      <c r="Q46" s="40">
        <v>44</v>
      </c>
      <c r="R46" s="63" t="s">
        <v>56</v>
      </c>
      <c r="S46" s="64" t="s">
        <v>213</v>
      </c>
      <c r="T46" s="64">
        <v>8070</v>
      </c>
      <c r="V46" s="67">
        <v>44</v>
      </c>
      <c r="W46" s="63" t="s">
        <v>56</v>
      </c>
      <c r="X46" s="64" t="s">
        <v>1744</v>
      </c>
      <c r="Y46" s="64">
        <v>2673</v>
      </c>
    </row>
    <row r="47" spans="2:25" ht="26" x14ac:dyDescent="0.35">
      <c r="E47" s="27"/>
      <c r="G47" s="67">
        <v>45</v>
      </c>
      <c r="H47" s="8" t="s">
        <v>2680</v>
      </c>
      <c r="I47" s="64" t="s">
        <v>1398</v>
      </c>
      <c r="J47" s="64">
        <v>11470</v>
      </c>
      <c r="L47" s="40">
        <v>45</v>
      </c>
      <c r="M47" s="63" t="s">
        <v>2682</v>
      </c>
      <c r="N47" s="64" t="s">
        <v>919</v>
      </c>
      <c r="O47" s="64">
        <v>10744</v>
      </c>
      <c r="Q47" s="40">
        <v>45</v>
      </c>
      <c r="R47" s="63" t="s">
        <v>56</v>
      </c>
      <c r="S47" s="64" t="s">
        <v>216</v>
      </c>
      <c r="T47" s="64">
        <v>8035</v>
      </c>
      <c r="V47" s="67">
        <v>45</v>
      </c>
      <c r="W47" s="63" t="s">
        <v>56</v>
      </c>
      <c r="X47" s="64" t="s">
        <v>106</v>
      </c>
      <c r="Y47" s="64">
        <v>3047</v>
      </c>
    </row>
    <row r="48" spans="2:25" ht="26" x14ac:dyDescent="0.35">
      <c r="G48" s="67">
        <v>46</v>
      </c>
      <c r="H48" s="8" t="s">
        <v>2680</v>
      </c>
      <c r="I48" s="64" t="s">
        <v>1399</v>
      </c>
      <c r="J48" s="64">
        <v>11471</v>
      </c>
      <c r="L48" s="40">
        <v>46</v>
      </c>
      <c r="M48" s="63" t="s">
        <v>2682</v>
      </c>
      <c r="N48" s="64" t="s">
        <v>921</v>
      </c>
      <c r="O48" s="64">
        <v>10745</v>
      </c>
      <c r="Q48" s="40">
        <v>46</v>
      </c>
      <c r="R48" s="63" t="s">
        <v>56</v>
      </c>
      <c r="S48" s="64" t="s">
        <v>222</v>
      </c>
      <c r="T48" s="64">
        <v>2138</v>
      </c>
      <c r="V48" s="67">
        <v>46</v>
      </c>
      <c r="W48" s="63" t="s">
        <v>56</v>
      </c>
      <c r="X48" s="64" t="s">
        <v>1746</v>
      </c>
      <c r="Y48" s="64">
        <v>2674</v>
      </c>
    </row>
    <row r="49" spans="7:25" ht="26" x14ac:dyDescent="0.35">
      <c r="G49" s="67">
        <v>47</v>
      </c>
      <c r="H49" s="8" t="s">
        <v>2680</v>
      </c>
      <c r="I49" s="64" t="s">
        <v>1472</v>
      </c>
      <c r="J49" s="64">
        <v>11524</v>
      </c>
      <c r="L49" s="40">
        <v>47</v>
      </c>
      <c r="M49" s="63" t="s">
        <v>2682</v>
      </c>
      <c r="N49" s="64" t="s">
        <v>923</v>
      </c>
      <c r="O49" s="64">
        <v>10746</v>
      </c>
      <c r="Q49" s="40">
        <v>47</v>
      </c>
      <c r="R49" s="63" t="s">
        <v>56</v>
      </c>
      <c r="S49" s="64" t="s">
        <v>232</v>
      </c>
      <c r="T49" s="64">
        <v>10543</v>
      </c>
      <c r="V49" s="67">
        <v>47</v>
      </c>
      <c r="W49" s="63" t="s">
        <v>56</v>
      </c>
      <c r="X49" s="64" t="s">
        <v>1742</v>
      </c>
      <c r="Y49" s="64">
        <v>10236</v>
      </c>
    </row>
    <row r="50" spans="7:25" ht="26" x14ac:dyDescent="0.35">
      <c r="G50" s="67">
        <v>48</v>
      </c>
      <c r="H50" s="8" t="s">
        <v>2680</v>
      </c>
      <c r="I50" s="64" t="s">
        <v>1473</v>
      </c>
      <c r="J50" s="64">
        <v>11525</v>
      </c>
      <c r="L50" s="40">
        <v>48</v>
      </c>
      <c r="M50" s="63" t="s">
        <v>2682</v>
      </c>
      <c r="N50" s="64" t="s">
        <v>925</v>
      </c>
      <c r="O50" s="64">
        <v>10747</v>
      </c>
      <c r="Q50" s="40">
        <v>48</v>
      </c>
      <c r="R50" s="63" t="s">
        <v>56</v>
      </c>
      <c r="S50" s="64" t="s">
        <v>234</v>
      </c>
      <c r="T50" s="64">
        <v>8103</v>
      </c>
      <c r="V50" s="67">
        <v>48</v>
      </c>
      <c r="W50" s="63" t="s">
        <v>56</v>
      </c>
      <c r="X50" s="64" t="s">
        <v>1748</v>
      </c>
      <c r="Y50" s="64">
        <v>3211</v>
      </c>
    </row>
    <row r="51" spans="7:25" ht="26" x14ac:dyDescent="0.35">
      <c r="G51" s="67">
        <v>49</v>
      </c>
      <c r="H51" s="8" t="s">
        <v>2680</v>
      </c>
      <c r="I51" s="64" t="s">
        <v>1400</v>
      </c>
      <c r="J51" s="64">
        <v>11472</v>
      </c>
      <c r="L51" s="40">
        <v>49</v>
      </c>
      <c r="M51" s="63" t="s">
        <v>2682</v>
      </c>
      <c r="N51" s="64" t="s">
        <v>927</v>
      </c>
      <c r="O51" s="64">
        <v>10748</v>
      </c>
      <c r="Q51" s="40">
        <v>49</v>
      </c>
      <c r="R51" s="63" t="s">
        <v>56</v>
      </c>
      <c r="S51" s="64" t="s">
        <v>237</v>
      </c>
      <c r="T51" s="64">
        <v>8135</v>
      </c>
      <c r="V51" s="67">
        <v>49</v>
      </c>
      <c r="W51" s="63" t="s">
        <v>56</v>
      </c>
      <c r="X51" s="64" t="s">
        <v>1749</v>
      </c>
      <c r="Y51" s="64">
        <v>3214</v>
      </c>
    </row>
    <row r="52" spans="7:25" ht="26" x14ac:dyDescent="0.35">
      <c r="G52" s="67">
        <v>50</v>
      </c>
      <c r="H52" s="8" t="s">
        <v>2680</v>
      </c>
      <c r="I52" s="64" t="s">
        <v>1694</v>
      </c>
      <c r="J52" s="64">
        <v>11473</v>
      </c>
      <c r="L52" s="40">
        <v>50</v>
      </c>
      <c r="M52" s="63" t="s">
        <v>2682</v>
      </c>
      <c r="N52" s="64" t="s">
        <v>930</v>
      </c>
      <c r="O52" s="64">
        <v>10749</v>
      </c>
      <c r="Q52" s="40">
        <v>50</v>
      </c>
      <c r="R52" s="63" t="s">
        <v>56</v>
      </c>
      <c r="S52" s="64" t="s">
        <v>240</v>
      </c>
      <c r="T52" s="64">
        <v>10</v>
      </c>
      <c r="V52" s="67">
        <v>50</v>
      </c>
      <c r="W52" s="63" t="s">
        <v>56</v>
      </c>
      <c r="X52" s="64" t="s">
        <v>1750</v>
      </c>
      <c r="Y52" s="64">
        <v>10237</v>
      </c>
    </row>
    <row r="53" spans="7:25" ht="26" x14ac:dyDescent="0.35">
      <c r="G53" s="67">
        <v>51</v>
      </c>
      <c r="H53" s="63" t="s">
        <v>2681</v>
      </c>
      <c r="I53" s="64" t="s">
        <v>1068</v>
      </c>
      <c r="J53" s="64">
        <v>10667</v>
      </c>
      <c r="L53" s="40">
        <v>51</v>
      </c>
      <c r="M53" s="63" t="s">
        <v>2682</v>
      </c>
      <c r="N53" s="64" t="s">
        <v>932</v>
      </c>
      <c r="O53" s="64">
        <v>10750</v>
      </c>
      <c r="Q53" s="40">
        <v>51</v>
      </c>
      <c r="R53" s="63" t="s">
        <v>56</v>
      </c>
      <c r="S53" s="64" t="s">
        <v>243</v>
      </c>
      <c r="T53" s="64">
        <v>2126</v>
      </c>
      <c r="V53" s="67">
        <v>51</v>
      </c>
      <c r="W53" s="63" t="s">
        <v>56</v>
      </c>
      <c r="X53" s="64" t="s">
        <v>1751</v>
      </c>
      <c r="Y53" s="64">
        <v>3215</v>
      </c>
    </row>
    <row r="54" spans="7:25" ht="26" x14ac:dyDescent="0.35">
      <c r="G54" s="67">
        <v>52</v>
      </c>
      <c r="H54" s="63" t="s">
        <v>2681</v>
      </c>
      <c r="I54" s="64" t="s">
        <v>1070</v>
      </c>
      <c r="J54" s="64">
        <v>10668</v>
      </c>
      <c r="L54" s="40">
        <v>52</v>
      </c>
      <c r="M54" s="63" t="s">
        <v>2682</v>
      </c>
      <c r="N54" s="64" t="s">
        <v>933</v>
      </c>
      <c r="O54" s="64">
        <v>10751</v>
      </c>
      <c r="Q54" s="40">
        <v>52</v>
      </c>
      <c r="R54" s="63" t="s">
        <v>56</v>
      </c>
      <c r="S54" s="64" t="s">
        <v>246</v>
      </c>
      <c r="T54" s="64">
        <v>2128</v>
      </c>
      <c r="V54" s="67">
        <v>52</v>
      </c>
      <c r="W54" s="63" t="s">
        <v>56</v>
      </c>
      <c r="X54" s="64" t="s">
        <v>1752</v>
      </c>
      <c r="Y54" s="64">
        <v>2678</v>
      </c>
    </row>
    <row r="55" spans="7:25" ht="26" x14ac:dyDescent="0.35">
      <c r="G55" s="67">
        <v>53</v>
      </c>
      <c r="H55" s="63" t="s">
        <v>2681</v>
      </c>
      <c r="I55" s="64" t="s">
        <v>1072</v>
      </c>
      <c r="J55" s="64">
        <v>10669</v>
      </c>
      <c r="L55" s="40">
        <v>53</v>
      </c>
      <c r="M55" s="63" t="s">
        <v>2682</v>
      </c>
      <c r="N55" s="64" t="s">
        <v>943</v>
      </c>
      <c r="O55" s="64">
        <v>10756</v>
      </c>
      <c r="Q55" s="40">
        <v>53</v>
      </c>
      <c r="R55" s="63" t="s">
        <v>56</v>
      </c>
      <c r="S55" s="64" t="s">
        <v>249</v>
      </c>
      <c r="T55" s="64">
        <v>2129</v>
      </c>
      <c r="V55" s="67">
        <v>53</v>
      </c>
      <c r="W55" s="63" t="s">
        <v>56</v>
      </c>
      <c r="X55" s="64" t="s">
        <v>1753</v>
      </c>
      <c r="Y55" s="64">
        <v>3216</v>
      </c>
    </row>
    <row r="56" spans="7:25" ht="26" x14ac:dyDescent="0.35">
      <c r="G56" s="67">
        <v>54</v>
      </c>
      <c r="H56" s="63" t="s">
        <v>2681</v>
      </c>
      <c r="I56" s="64" t="s">
        <v>1074</v>
      </c>
      <c r="J56" s="64">
        <v>10670</v>
      </c>
      <c r="L56" s="40">
        <v>54</v>
      </c>
      <c r="M56" s="63" t="s">
        <v>2682</v>
      </c>
      <c r="N56" s="64" t="s">
        <v>945</v>
      </c>
      <c r="O56" s="64">
        <v>10757</v>
      </c>
      <c r="Q56" s="40">
        <v>54</v>
      </c>
      <c r="R56" s="63" t="s">
        <v>56</v>
      </c>
      <c r="S56" s="64" t="s">
        <v>255</v>
      </c>
      <c r="T56" s="64">
        <v>8003</v>
      </c>
      <c r="V56" s="67">
        <v>54</v>
      </c>
      <c r="W56" s="63" t="s">
        <v>56</v>
      </c>
      <c r="X56" s="64" t="s">
        <v>1754</v>
      </c>
      <c r="Y56" s="64">
        <v>3217</v>
      </c>
    </row>
    <row r="57" spans="7:25" ht="26" x14ac:dyDescent="0.35">
      <c r="G57" s="67">
        <v>55</v>
      </c>
      <c r="H57" s="63" t="s">
        <v>2681</v>
      </c>
      <c r="I57" s="64" t="s">
        <v>1076</v>
      </c>
      <c r="J57" s="64">
        <v>10671</v>
      </c>
      <c r="L57" s="40">
        <v>55</v>
      </c>
      <c r="M57" s="63" t="s">
        <v>2682</v>
      </c>
      <c r="N57" s="64" t="s">
        <v>949</v>
      </c>
      <c r="O57" s="64">
        <v>10759</v>
      </c>
      <c r="Q57" s="40">
        <v>55</v>
      </c>
      <c r="R57" s="63" t="s">
        <v>56</v>
      </c>
      <c r="S57" s="64" t="s">
        <v>258</v>
      </c>
      <c r="T57" s="64">
        <v>10250</v>
      </c>
      <c r="V57" s="67">
        <v>55</v>
      </c>
      <c r="W57" s="63" t="s">
        <v>56</v>
      </c>
      <c r="X57" s="64" t="s">
        <v>1755</v>
      </c>
      <c r="Y57" s="64">
        <v>3218</v>
      </c>
    </row>
    <row r="58" spans="7:25" ht="26" x14ac:dyDescent="0.35">
      <c r="G58" s="67">
        <v>56</v>
      </c>
      <c r="H58" s="63" t="s">
        <v>2681</v>
      </c>
      <c r="I58" s="64" t="s">
        <v>2649</v>
      </c>
      <c r="J58" s="64">
        <v>10682</v>
      </c>
      <c r="L58" s="40">
        <v>56</v>
      </c>
      <c r="M58" s="63" t="s">
        <v>2682</v>
      </c>
      <c r="N58" s="64" t="s">
        <v>951</v>
      </c>
      <c r="O58" s="64">
        <v>10760</v>
      </c>
      <c r="Q58" s="40">
        <v>56</v>
      </c>
      <c r="R58" s="63" t="s">
        <v>56</v>
      </c>
      <c r="S58" s="64" t="s">
        <v>263</v>
      </c>
      <c r="T58" s="64">
        <v>2145</v>
      </c>
      <c r="V58" s="67">
        <v>56</v>
      </c>
      <c r="W58" s="63" t="s">
        <v>56</v>
      </c>
      <c r="X58" s="64" t="s">
        <v>1758</v>
      </c>
      <c r="Y58" s="64">
        <v>2680</v>
      </c>
    </row>
    <row r="59" spans="7:25" ht="26" x14ac:dyDescent="0.35">
      <c r="G59" s="67">
        <v>57</v>
      </c>
      <c r="H59" s="63" t="s">
        <v>2681</v>
      </c>
      <c r="I59" s="64" t="s">
        <v>1493</v>
      </c>
      <c r="J59" s="64">
        <v>11527</v>
      </c>
      <c r="L59" s="40">
        <v>57</v>
      </c>
      <c r="M59" s="63" t="s">
        <v>2682</v>
      </c>
      <c r="N59" s="64" t="s">
        <v>958</v>
      </c>
      <c r="O59" s="64">
        <v>10762</v>
      </c>
      <c r="Q59" s="40">
        <v>57</v>
      </c>
      <c r="R59" s="63" t="s">
        <v>56</v>
      </c>
      <c r="S59" s="64" t="s">
        <v>266</v>
      </c>
      <c r="T59" s="64">
        <v>10577</v>
      </c>
      <c r="V59" s="67">
        <v>57</v>
      </c>
      <c r="W59" s="63" t="s">
        <v>56</v>
      </c>
      <c r="X59" s="64" t="s">
        <v>1759</v>
      </c>
      <c r="Y59" s="64">
        <v>2681</v>
      </c>
    </row>
    <row r="60" spans="7:25" ht="39" x14ac:dyDescent="0.35">
      <c r="G60" s="67">
        <v>58</v>
      </c>
      <c r="H60" s="63" t="s">
        <v>2681</v>
      </c>
      <c r="I60" s="64" t="s">
        <v>1344</v>
      </c>
      <c r="J60" s="64">
        <v>11402</v>
      </c>
      <c r="L60" s="40">
        <v>58</v>
      </c>
      <c r="M60" s="63" t="s">
        <v>2682</v>
      </c>
      <c r="N60" s="64" t="s">
        <v>960</v>
      </c>
      <c r="O60" s="64">
        <v>10763</v>
      </c>
      <c r="Q60" s="40">
        <v>58</v>
      </c>
      <c r="R60" s="63" t="s">
        <v>56</v>
      </c>
      <c r="S60" s="64" t="s">
        <v>275</v>
      </c>
      <c r="T60" s="64">
        <v>10409</v>
      </c>
      <c r="V60" s="67">
        <v>58</v>
      </c>
      <c r="W60" s="63" t="s">
        <v>56</v>
      </c>
      <c r="X60" s="64" t="s">
        <v>1760</v>
      </c>
      <c r="Y60" s="64">
        <v>8185</v>
      </c>
    </row>
    <row r="61" spans="7:25" ht="26" x14ac:dyDescent="0.35">
      <c r="G61" s="67">
        <v>59</v>
      </c>
      <c r="H61" s="63" t="s">
        <v>2681</v>
      </c>
      <c r="I61" s="64" t="s">
        <v>1492</v>
      </c>
      <c r="J61" s="64">
        <v>11526</v>
      </c>
      <c r="L61" s="40">
        <v>59</v>
      </c>
      <c r="M61" s="63" t="s">
        <v>2682</v>
      </c>
      <c r="N61" s="64" t="s">
        <v>962</v>
      </c>
      <c r="O61" s="64">
        <v>10764</v>
      </c>
      <c r="Q61" s="40">
        <v>59</v>
      </c>
      <c r="R61" s="63" t="s">
        <v>56</v>
      </c>
      <c r="S61" s="64" t="s">
        <v>278</v>
      </c>
      <c r="T61" s="64">
        <v>2151</v>
      </c>
      <c r="V61" s="67">
        <v>59</v>
      </c>
      <c r="W61" s="63" t="s">
        <v>56</v>
      </c>
      <c r="X61" s="64" t="s">
        <v>1761</v>
      </c>
      <c r="Y61" s="64">
        <v>8180</v>
      </c>
    </row>
    <row r="62" spans="7:25" ht="26" x14ac:dyDescent="0.35">
      <c r="G62" s="67">
        <v>60</v>
      </c>
      <c r="H62" s="63" t="s">
        <v>2681</v>
      </c>
      <c r="I62" s="64" t="s">
        <v>1080</v>
      </c>
      <c r="J62" s="64">
        <v>10673</v>
      </c>
      <c r="L62" s="40">
        <v>60</v>
      </c>
      <c r="M62" s="63" t="s">
        <v>2682</v>
      </c>
      <c r="N62" s="64" t="s">
        <v>964</v>
      </c>
      <c r="O62" s="64">
        <v>10765</v>
      </c>
      <c r="Q62" s="40">
        <v>60</v>
      </c>
      <c r="R62" s="63" t="s">
        <v>56</v>
      </c>
      <c r="S62" s="64" t="s">
        <v>281</v>
      </c>
      <c r="T62" s="64">
        <v>8016</v>
      </c>
      <c r="V62" s="67">
        <v>60</v>
      </c>
      <c r="W62" s="63" t="s">
        <v>56</v>
      </c>
      <c r="X62" s="64" t="s">
        <v>1756</v>
      </c>
      <c r="Y62" s="64">
        <v>2682</v>
      </c>
    </row>
    <row r="63" spans="7:25" ht="26" x14ac:dyDescent="0.35">
      <c r="G63" s="67">
        <v>61</v>
      </c>
      <c r="H63" s="63" t="s">
        <v>2681</v>
      </c>
      <c r="I63" s="64" t="s">
        <v>1082</v>
      </c>
      <c r="J63" s="64">
        <v>10674</v>
      </c>
      <c r="L63" s="40">
        <v>61</v>
      </c>
      <c r="M63" s="63" t="s">
        <v>2682</v>
      </c>
      <c r="N63" s="64" t="s">
        <v>967</v>
      </c>
      <c r="O63" s="64">
        <v>10766</v>
      </c>
      <c r="Q63" s="40">
        <v>61</v>
      </c>
      <c r="R63" s="63" t="s">
        <v>56</v>
      </c>
      <c r="S63" s="64" t="s">
        <v>291</v>
      </c>
      <c r="T63" s="64">
        <v>3268</v>
      </c>
      <c r="V63" s="67">
        <v>61</v>
      </c>
      <c r="W63" s="63" t="s">
        <v>56</v>
      </c>
      <c r="X63" s="64" t="s">
        <v>1757</v>
      </c>
      <c r="Y63" s="64">
        <v>2683</v>
      </c>
    </row>
    <row r="64" spans="7:25" ht="26" x14ac:dyDescent="0.35">
      <c r="G64" s="67">
        <v>62</v>
      </c>
      <c r="H64" s="63" t="s">
        <v>2681</v>
      </c>
      <c r="I64" s="64" t="s">
        <v>1084</v>
      </c>
      <c r="J64" s="64">
        <v>10675</v>
      </c>
      <c r="L64" s="40">
        <v>62</v>
      </c>
      <c r="M64" s="63" t="s">
        <v>2682</v>
      </c>
      <c r="N64" s="64" t="s">
        <v>969</v>
      </c>
      <c r="O64" s="64">
        <v>10767</v>
      </c>
      <c r="Q64" s="40">
        <v>62</v>
      </c>
      <c r="R64" s="63" t="s">
        <v>56</v>
      </c>
      <c r="S64" s="64" t="s">
        <v>294</v>
      </c>
      <c r="T64" s="64">
        <v>3269</v>
      </c>
      <c r="V64" s="67">
        <v>62</v>
      </c>
      <c r="W64" s="63" t="s">
        <v>56</v>
      </c>
      <c r="X64" s="64" t="s">
        <v>1762</v>
      </c>
      <c r="Y64" s="64">
        <v>8291</v>
      </c>
    </row>
    <row r="65" spans="5:25" ht="26" x14ac:dyDescent="0.35">
      <c r="E65" s="27"/>
      <c r="G65" s="67">
        <v>63</v>
      </c>
      <c r="H65" s="63" t="s">
        <v>2681</v>
      </c>
      <c r="I65" s="64" t="s">
        <v>1514</v>
      </c>
      <c r="J65" s="64">
        <v>11548</v>
      </c>
      <c r="L65" s="40">
        <v>63</v>
      </c>
      <c r="M65" s="63" t="s">
        <v>2682</v>
      </c>
      <c r="N65" s="64" t="s">
        <v>971</v>
      </c>
      <c r="O65" s="64">
        <v>10768</v>
      </c>
      <c r="Q65" s="40">
        <v>63</v>
      </c>
      <c r="R65" s="63" t="s">
        <v>56</v>
      </c>
      <c r="S65" s="64" t="s">
        <v>297</v>
      </c>
      <c r="T65" s="64">
        <v>2159</v>
      </c>
      <c r="V65" s="67">
        <v>63</v>
      </c>
      <c r="W65" s="63" t="s">
        <v>56</v>
      </c>
      <c r="X65" s="64" t="s">
        <v>267</v>
      </c>
      <c r="Y65" s="64">
        <v>2684</v>
      </c>
    </row>
    <row r="66" spans="5:25" ht="26" x14ac:dyDescent="0.35">
      <c r="E66" s="34"/>
      <c r="G66" s="67">
        <v>64</v>
      </c>
      <c r="H66" s="63" t="s">
        <v>2681</v>
      </c>
      <c r="I66" s="64" t="s">
        <v>1086</v>
      </c>
      <c r="J66" s="64">
        <v>10676</v>
      </c>
      <c r="L66" s="40">
        <v>64</v>
      </c>
      <c r="M66" s="63" t="s">
        <v>2682</v>
      </c>
      <c r="N66" s="64" t="s">
        <v>973</v>
      </c>
      <c r="O66" s="64">
        <v>10769</v>
      </c>
      <c r="Q66" s="40">
        <v>64</v>
      </c>
      <c r="R66" s="63" t="s">
        <v>56</v>
      </c>
      <c r="S66" s="64" t="s">
        <v>300</v>
      </c>
      <c r="T66" s="64">
        <v>10035</v>
      </c>
      <c r="V66" s="67">
        <v>64</v>
      </c>
      <c r="W66" s="63" t="s">
        <v>56</v>
      </c>
      <c r="X66" s="64" t="s">
        <v>1763</v>
      </c>
      <c r="Y66" s="64">
        <v>2074</v>
      </c>
    </row>
    <row r="67" spans="5:25" ht="26" x14ac:dyDescent="0.35">
      <c r="G67" s="67">
        <v>65</v>
      </c>
      <c r="H67" s="63" t="s">
        <v>2681</v>
      </c>
      <c r="I67" s="64" t="s">
        <v>1515</v>
      </c>
      <c r="J67" s="64">
        <v>11549</v>
      </c>
      <c r="L67" s="40">
        <v>65</v>
      </c>
      <c r="M67" s="63" t="s">
        <v>2682</v>
      </c>
      <c r="N67" s="64" t="s">
        <v>975</v>
      </c>
      <c r="O67" s="64">
        <v>10770</v>
      </c>
      <c r="Q67" s="40">
        <v>65</v>
      </c>
      <c r="R67" s="63" t="s">
        <v>56</v>
      </c>
      <c r="S67" s="64" t="s">
        <v>303</v>
      </c>
      <c r="T67" s="64">
        <v>2162</v>
      </c>
      <c r="V67" s="67">
        <v>65</v>
      </c>
      <c r="W67" s="63" t="s">
        <v>56</v>
      </c>
      <c r="X67" s="64" t="s">
        <v>1764</v>
      </c>
      <c r="Y67" s="64">
        <v>10238</v>
      </c>
    </row>
    <row r="68" spans="5:25" ht="26" x14ac:dyDescent="0.35">
      <c r="G68" s="67">
        <v>66</v>
      </c>
      <c r="H68" s="63" t="s">
        <v>2681</v>
      </c>
      <c r="I68" s="64" t="s">
        <v>1088</v>
      </c>
      <c r="J68" s="64">
        <v>10677</v>
      </c>
      <c r="L68" s="40">
        <v>66</v>
      </c>
      <c r="M68" s="63" t="s">
        <v>2682</v>
      </c>
      <c r="N68" s="64" t="s">
        <v>977</v>
      </c>
      <c r="O68" s="64">
        <v>10771</v>
      </c>
      <c r="Q68" s="40">
        <v>66</v>
      </c>
      <c r="R68" s="63" t="s">
        <v>56</v>
      </c>
      <c r="S68" s="64" t="s">
        <v>305</v>
      </c>
      <c r="T68" s="64">
        <v>8123</v>
      </c>
      <c r="V68" s="67">
        <v>66</v>
      </c>
      <c r="W68" s="63" t="s">
        <v>56</v>
      </c>
      <c r="X68" s="64" t="s">
        <v>1766</v>
      </c>
      <c r="Y68" s="64">
        <v>3222</v>
      </c>
    </row>
    <row r="69" spans="5:25" ht="26" x14ac:dyDescent="0.35">
      <c r="G69" s="67">
        <v>67</v>
      </c>
      <c r="H69" s="63" t="s">
        <v>2681</v>
      </c>
      <c r="I69" s="64" t="s">
        <v>1090</v>
      </c>
      <c r="J69" s="64">
        <v>10678</v>
      </c>
      <c r="L69" s="40">
        <v>67</v>
      </c>
      <c r="M69" s="63" t="s">
        <v>2682</v>
      </c>
      <c r="N69" s="64" t="s">
        <v>984</v>
      </c>
      <c r="O69" s="64">
        <v>10774</v>
      </c>
      <c r="Q69" s="40">
        <v>67</v>
      </c>
      <c r="R69" s="63" t="s">
        <v>56</v>
      </c>
      <c r="S69" s="64" t="s">
        <v>307</v>
      </c>
      <c r="T69" s="64">
        <v>10381</v>
      </c>
      <c r="V69" s="67">
        <v>67</v>
      </c>
      <c r="W69" s="63" t="s">
        <v>56</v>
      </c>
      <c r="X69" s="64" t="s">
        <v>1767</v>
      </c>
      <c r="Y69" s="64">
        <v>3223</v>
      </c>
    </row>
    <row r="70" spans="5:25" ht="26" x14ac:dyDescent="0.35">
      <c r="G70" s="67">
        <v>68</v>
      </c>
      <c r="H70" s="63" t="s">
        <v>2681</v>
      </c>
      <c r="I70" s="64" t="s">
        <v>1092</v>
      </c>
      <c r="J70" s="64">
        <v>10679</v>
      </c>
      <c r="L70" s="40">
        <v>68</v>
      </c>
      <c r="M70" s="63" t="s">
        <v>2682</v>
      </c>
      <c r="N70" s="64" t="s">
        <v>986</v>
      </c>
      <c r="O70" s="64">
        <v>10775</v>
      </c>
      <c r="Q70" s="40">
        <v>68</v>
      </c>
      <c r="R70" s="63" t="s">
        <v>56</v>
      </c>
      <c r="S70" s="64" t="s">
        <v>309</v>
      </c>
      <c r="T70" s="64">
        <v>10118</v>
      </c>
      <c r="V70" s="67">
        <v>68</v>
      </c>
      <c r="W70" s="63" t="s">
        <v>56</v>
      </c>
      <c r="X70" s="64" t="s">
        <v>1769</v>
      </c>
      <c r="Y70" s="64">
        <v>10166</v>
      </c>
    </row>
    <row r="71" spans="5:25" ht="26" x14ac:dyDescent="0.35">
      <c r="G71" s="67">
        <v>69</v>
      </c>
      <c r="H71" s="63" t="s">
        <v>2681</v>
      </c>
      <c r="I71" s="64" t="s">
        <v>1094</v>
      </c>
      <c r="J71" s="64">
        <v>10680</v>
      </c>
      <c r="L71" s="40">
        <v>69</v>
      </c>
      <c r="M71" s="63" t="s">
        <v>2682</v>
      </c>
      <c r="N71" s="64" t="s">
        <v>994</v>
      </c>
      <c r="O71" s="64">
        <v>10778</v>
      </c>
      <c r="Q71" s="40">
        <v>69</v>
      </c>
      <c r="R71" s="63" t="s">
        <v>56</v>
      </c>
      <c r="S71" s="64" t="s">
        <v>312</v>
      </c>
      <c r="T71" s="64">
        <v>3274</v>
      </c>
      <c r="V71" s="67">
        <v>69</v>
      </c>
      <c r="W71" s="63" t="s">
        <v>56</v>
      </c>
      <c r="X71" s="64" t="s">
        <v>1765</v>
      </c>
      <c r="Y71" s="64">
        <v>2685</v>
      </c>
    </row>
    <row r="72" spans="5:25" ht="26" x14ac:dyDescent="0.35">
      <c r="G72" s="67">
        <v>70</v>
      </c>
      <c r="H72" s="63" t="s">
        <v>2681</v>
      </c>
      <c r="I72" s="64" t="s">
        <v>1099</v>
      </c>
      <c r="J72" s="64">
        <v>10683</v>
      </c>
      <c r="L72" s="40">
        <v>70</v>
      </c>
      <c r="M72" s="63" t="s">
        <v>2682</v>
      </c>
      <c r="N72" s="64" t="s">
        <v>996</v>
      </c>
      <c r="O72" s="64">
        <v>10779</v>
      </c>
      <c r="Q72" s="40">
        <v>70</v>
      </c>
      <c r="R72" s="63" t="s">
        <v>56</v>
      </c>
      <c r="S72" s="64" t="s">
        <v>314</v>
      </c>
      <c r="T72" s="64">
        <v>2081</v>
      </c>
      <c r="V72" s="67">
        <v>70</v>
      </c>
      <c r="W72" s="63" t="s">
        <v>56</v>
      </c>
      <c r="X72" s="64" t="s">
        <v>1770</v>
      </c>
      <c r="Y72" s="64">
        <v>2686</v>
      </c>
    </row>
    <row r="73" spans="5:25" ht="26" x14ac:dyDescent="0.35">
      <c r="G73" s="67">
        <v>71</v>
      </c>
      <c r="H73" s="63" t="s">
        <v>2681</v>
      </c>
      <c r="I73" s="64" t="s">
        <v>1102</v>
      </c>
      <c r="J73" s="64">
        <v>10685</v>
      </c>
      <c r="L73" s="40">
        <v>71</v>
      </c>
      <c r="M73" s="63" t="s">
        <v>2682</v>
      </c>
      <c r="N73" s="64" t="s">
        <v>998</v>
      </c>
      <c r="O73" s="64">
        <v>10780</v>
      </c>
      <c r="Q73" s="40">
        <v>71</v>
      </c>
      <c r="R73" s="63" t="s">
        <v>56</v>
      </c>
      <c r="S73" s="64" t="s">
        <v>316</v>
      </c>
      <c r="T73" s="64">
        <v>2171</v>
      </c>
      <c r="V73" s="67">
        <v>71</v>
      </c>
      <c r="W73" s="63" t="s">
        <v>56</v>
      </c>
      <c r="X73" s="64" t="s">
        <v>1771</v>
      </c>
      <c r="Y73" s="64">
        <v>3224</v>
      </c>
    </row>
    <row r="74" spans="5:25" ht="26" x14ac:dyDescent="0.35">
      <c r="G74" s="67">
        <v>72</v>
      </c>
      <c r="H74" s="63" t="s">
        <v>2681</v>
      </c>
      <c r="I74" s="64" t="s">
        <v>1104</v>
      </c>
      <c r="J74" s="64">
        <v>10686</v>
      </c>
      <c r="L74" s="40">
        <v>72</v>
      </c>
      <c r="M74" s="63" t="s">
        <v>2682</v>
      </c>
      <c r="N74" s="64" t="s">
        <v>1000</v>
      </c>
      <c r="O74" s="64">
        <v>10781</v>
      </c>
      <c r="Q74" s="40">
        <v>72</v>
      </c>
      <c r="R74" s="63" t="s">
        <v>56</v>
      </c>
      <c r="S74" s="64" t="s">
        <v>319</v>
      </c>
      <c r="T74" s="64">
        <v>2160</v>
      </c>
      <c r="V74" s="67">
        <v>72</v>
      </c>
      <c r="W74" s="63" t="s">
        <v>56</v>
      </c>
      <c r="X74" s="64" t="s">
        <v>1772</v>
      </c>
      <c r="Y74" s="64">
        <v>2688</v>
      </c>
    </row>
    <row r="75" spans="5:25" ht="26" x14ac:dyDescent="0.35">
      <c r="G75" s="67">
        <v>73</v>
      </c>
      <c r="H75" s="63" t="s">
        <v>2681</v>
      </c>
      <c r="I75" s="64" t="s">
        <v>1106</v>
      </c>
      <c r="J75" s="64">
        <v>10687</v>
      </c>
      <c r="L75" s="40">
        <v>73</v>
      </c>
      <c r="M75" s="63" t="s">
        <v>2682</v>
      </c>
      <c r="N75" s="64" t="s">
        <v>1002</v>
      </c>
      <c r="O75" s="64">
        <v>10782</v>
      </c>
      <c r="Q75" s="40">
        <v>73</v>
      </c>
      <c r="R75" s="63" t="s">
        <v>56</v>
      </c>
      <c r="S75" s="64" t="s">
        <v>322</v>
      </c>
      <c r="T75" s="64">
        <v>2172</v>
      </c>
      <c r="V75" s="67">
        <v>73</v>
      </c>
      <c r="W75" s="63" t="s">
        <v>56</v>
      </c>
      <c r="X75" s="64" t="s">
        <v>1773</v>
      </c>
      <c r="Y75" s="64">
        <v>2689</v>
      </c>
    </row>
    <row r="76" spans="5:25" ht="26" x14ac:dyDescent="0.35">
      <c r="G76" s="67">
        <v>74</v>
      </c>
      <c r="H76" s="63" t="s">
        <v>2681</v>
      </c>
      <c r="I76" s="64" t="s">
        <v>1108</v>
      </c>
      <c r="J76" s="64">
        <v>10688</v>
      </c>
      <c r="L76" s="40">
        <v>74</v>
      </c>
      <c r="M76" s="63" t="s">
        <v>2682</v>
      </c>
      <c r="N76" s="64" t="s">
        <v>1004</v>
      </c>
      <c r="O76" s="64">
        <v>10783</v>
      </c>
      <c r="Q76" s="40">
        <v>74</v>
      </c>
      <c r="R76" s="63" t="s">
        <v>56</v>
      </c>
      <c r="S76" s="64" t="s">
        <v>326</v>
      </c>
      <c r="T76" s="64">
        <v>2175</v>
      </c>
      <c r="V76" s="67">
        <v>74</v>
      </c>
      <c r="W76" s="63" t="s">
        <v>56</v>
      </c>
      <c r="X76" s="64" t="s">
        <v>1776</v>
      </c>
      <c r="Y76" s="64">
        <v>10332</v>
      </c>
    </row>
    <row r="77" spans="5:25" ht="26" x14ac:dyDescent="0.35">
      <c r="G77" s="67">
        <v>75</v>
      </c>
      <c r="H77" s="63" t="s">
        <v>2681</v>
      </c>
      <c r="I77" s="64" t="s">
        <v>1110</v>
      </c>
      <c r="J77" s="64">
        <v>10689</v>
      </c>
      <c r="L77" s="40">
        <v>75</v>
      </c>
      <c r="M77" s="63" t="s">
        <v>2682</v>
      </c>
      <c r="N77" s="64" t="s">
        <v>1006</v>
      </c>
      <c r="O77" s="64">
        <v>10784</v>
      </c>
      <c r="Q77" s="40">
        <v>75</v>
      </c>
      <c r="R77" s="63" t="s">
        <v>56</v>
      </c>
      <c r="S77" s="64" t="s">
        <v>331</v>
      </c>
      <c r="T77" s="64">
        <v>10039</v>
      </c>
      <c r="V77" s="67">
        <v>75</v>
      </c>
      <c r="W77" s="63" t="s">
        <v>56</v>
      </c>
      <c r="X77" s="64" t="s">
        <v>1777</v>
      </c>
      <c r="Y77" s="64">
        <v>10240</v>
      </c>
    </row>
    <row r="78" spans="5:25" ht="26" x14ac:dyDescent="0.35">
      <c r="G78" s="67">
        <v>76</v>
      </c>
      <c r="H78" s="63" t="s">
        <v>2681</v>
      </c>
      <c r="I78" s="64" t="s">
        <v>1112</v>
      </c>
      <c r="J78" s="64">
        <v>10690</v>
      </c>
      <c r="L78" s="40">
        <v>76</v>
      </c>
      <c r="M78" s="63" t="s">
        <v>2682</v>
      </c>
      <c r="N78" s="64" t="s">
        <v>1008</v>
      </c>
      <c r="O78" s="64">
        <v>10785</v>
      </c>
      <c r="Q78" s="40">
        <v>76</v>
      </c>
      <c r="R78" s="63" t="s">
        <v>56</v>
      </c>
      <c r="S78" s="64" t="s">
        <v>333</v>
      </c>
      <c r="T78" s="64">
        <v>8013</v>
      </c>
      <c r="V78" s="67">
        <v>76</v>
      </c>
      <c r="W78" s="63" t="s">
        <v>56</v>
      </c>
      <c r="X78" s="64" t="s">
        <v>1778</v>
      </c>
      <c r="Y78" s="64">
        <v>3228</v>
      </c>
    </row>
    <row r="79" spans="5:25" ht="26" x14ac:dyDescent="0.35">
      <c r="G79" s="67">
        <v>77</v>
      </c>
      <c r="H79" s="63" t="s">
        <v>2681</v>
      </c>
      <c r="I79" s="64" t="s">
        <v>1114</v>
      </c>
      <c r="J79" s="64">
        <v>10691</v>
      </c>
      <c r="L79" s="40">
        <v>77</v>
      </c>
      <c r="M79" s="63" t="s">
        <v>2682</v>
      </c>
      <c r="N79" s="64" t="s">
        <v>1010</v>
      </c>
      <c r="O79" s="64">
        <v>10786</v>
      </c>
      <c r="Q79" s="40">
        <v>77</v>
      </c>
      <c r="R79" s="63" t="s">
        <v>56</v>
      </c>
      <c r="S79" s="64" t="s">
        <v>335</v>
      </c>
      <c r="T79" s="64">
        <v>2177</v>
      </c>
      <c r="V79" s="67">
        <v>77</v>
      </c>
      <c r="W79" s="63" t="s">
        <v>56</v>
      </c>
      <c r="X79" s="64" t="s">
        <v>327</v>
      </c>
      <c r="Y79" s="64">
        <v>3229</v>
      </c>
    </row>
    <row r="80" spans="5:25" ht="26" x14ac:dyDescent="0.35">
      <c r="G80" s="67">
        <v>78</v>
      </c>
      <c r="H80" s="63" t="s">
        <v>2681</v>
      </c>
      <c r="I80" s="64" t="s">
        <v>1118</v>
      </c>
      <c r="J80" s="64">
        <v>10693</v>
      </c>
      <c r="L80" s="40">
        <v>78</v>
      </c>
      <c r="M80" s="63" t="s">
        <v>2682</v>
      </c>
      <c r="N80" s="64" t="s">
        <v>1012</v>
      </c>
      <c r="O80" s="64">
        <v>10787</v>
      </c>
      <c r="Q80" s="40">
        <v>78</v>
      </c>
      <c r="R80" s="63" t="s">
        <v>56</v>
      </c>
      <c r="S80" s="64" t="s">
        <v>338</v>
      </c>
      <c r="T80" s="64">
        <v>2179</v>
      </c>
      <c r="V80" s="67">
        <v>78</v>
      </c>
      <c r="W80" s="63" t="s">
        <v>56</v>
      </c>
      <c r="X80" s="64" t="s">
        <v>1775</v>
      </c>
      <c r="Y80" s="64">
        <v>2691</v>
      </c>
    </row>
    <row r="81" spans="7:25" ht="26" x14ac:dyDescent="0.35">
      <c r="G81" s="67">
        <v>79</v>
      </c>
      <c r="H81" s="63" t="s">
        <v>2681</v>
      </c>
      <c r="I81" s="64" t="s">
        <v>1120</v>
      </c>
      <c r="J81" s="64">
        <v>10694</v>
      </c>
      <c r="L81" s="40">
        <v>79</v>
      </c>
      <c r="M81" s="63" t="s">
        <v>2682</v>
      </c>
      <c r="N81" s="64" t="s">
        <v>1014</v>
      </c>
      <c r="O81" s="64">
        <v>10788</v>
      </c>
      <c r="Q81" s="40">
        <v>79</v>
      </c>
      <c r="R81" s="63" t="s">
        <v>56</v>
      </c>
      <c r="S81" s="64" t="s">
        <v>341</v>
      </c>
      <c r="T81" s="64">
        <v>2181</v>
      </c>
      <c r="V81" s="67">
        <v>79</v>
      </c>
      <c r="W81" s="63" t="s">
        <v>56</v>
      </c>
      <c r="X81" s="64" t="s">
        <v>342</v>
      </c>
      <c r="Y81" s="64">
        <v>8228</v>
      </c>
    </row>
    <row r="82" spans="7:25" ht="26" x14ac:dyDescent="0.35">
      <c r="G82" s="67">
        <v>80</v>
      </c>
      <c r="H82" s="63" t="s">
        <v>2681</v>
      </c>
      <c r="I82" s="64" t="s">
        <v>1122</v>
      </c>
      <c r="J82" s="64">
        <v>10695</v>
      </c>
      <c r="L82" s="40">
        <v>80</v>
      </c>
      <c r="M82" s="63" t="s">
        <v>2682</v>
      </c>
      <c r="N82" s="64" t="s">
        <v>1015</v>
      </c>
      <c r="O82" s="64">
        <v>10789</v>
      </c>
      <c r="Q82" s="40">
        <v>80</v>
      </c>
      <c r="R82" s="63" t="s">
        <v>56</v>
      </c>
      <c r="S82" s="64" t="s">
        <v>348</v>
      </c>
      <c r="T82" s="64">
        <v>107</v>
      </c>
      <c r="V82" s="67">
        <v>80</v>
      </c>
      <c r="W82" s="63" t="s">
        <v>56</v>
      </c>
      <c r="X82" s="64" t="s">
        <v>1780</v>
      </c>
      <c r="Y82" s="64">
        <v>2694</v>
      </c>
    </row>
    <row r="83" spans="7:25" ht="26" x14ac:dyDescent="0.35">
      <c r="G83" s="67">
        <v>81</v>
      </c>
      <c r="H83" s="63" t="s">
        <v>2681</v>
      </c>
      <c r="I83" s="64" t="s">
        <v>1124</v>
      </c>
      <c r="J83" s="64">
        <v>10696</v>
      </c>
      <c r="L83" s="40">
        <v>81</v>
      </c>
      <c r="M83" s="63" t="s">
        <v>2683</v>
      </c>
      <c r="N83" s="64" t="s">
        <v>2541</v>
      </c>
      <c r="O83" s="64">
        <v>11746</v>
      </c>
      <c r="Q83" s="40">
        <v>81</v>
      </c>
      <c r="R83" s="63" t="s">
        <v>56</v>
      </c>
      <c r="S83" s="64" t="s">
        <v>358</v>
      </c>
      <c r="T83" s="64">
        <v>8022</v>
      </c>
      <c r="V83" s="67">
        <v>81</v>
      </c>
      <c r="W83" s="63" t="s">
        <v>56</v>
      </c>
      <c r="X83" s="64" t="s">
        <v>1781</v>
      </c>
      <c r="Y83" s="64">
        <v>2095</v>
      </c>
    </row>
    <row r="84" spans="7:25" ht="26" x14ac:dyDescent="0.35">
      <c r="G84" s="67">
        <v>82</v>
      </c>
      <c r="H84" s="63" t="s">
        <v>2681</v>
      </c>
      <c r="I84" s="64" t="s">
        <v>1126</v>
      </c>
      <c r="J84" s="64">
        <v>10697</v>
      </c>
      <c r="L84" s="40">
        <v>82</v>
      </c>
      <c r="M84" s="63" t="s">
        <v>2683</v>
      </c>
      <c r="N84" s="64" t="s">
        <v>2539</v>
      </c>
      <c r="O84" s="64">
        <v>11744</v>
      </c>
      <c r="Q84" s="40">
        <v>82</v>
      </c>
      <c r="R84" s="63" t="s">
        <v>56</v>
      </c>
      <c r="S84" s="64" t="s">
        <v>362</v>
      </c>
      <c r="T84" s="64">
        <v>2190</v>
      </c>
      <c r="V84" s="67">
        <v>82</v>
      </c>
      <c r="W84" s="63" t="s">
        <v>56</v>
      </c>
      <c r="X84" s="64" t="s">
        <v>1783</v>
      </c>
      <c r="Y84" s="64">
        <v>3233</v>
      </c>
    </row>
    <row r="85" spans="7:25" ht="26" x14ac:dyDescent="0.35">
      <c r="G85" s="67">
        <v>83</v>
      </c>
      <c r="H85" s="63" t="s">
        <v>2681</v>
      </c>
      <c r="I85" s="64" t="s">
        <v>1128</v>
      </c>
      <c r="J85" s="64">
        <v>10698</v>
      </c>
      <c r="L85" s="40">
        <v>83</v>
      </c>
      <c r="M85" s="63" t="s">
        <v>2683</v>
      </c>
      <c r="N85" s="64" t="s">
        <v>2538</v>
      </c>
      <c r="O85" s="64">
        <v>11743</v>
      </c>
      <c r="Q85" s="40">
        <v>83</v>
      </c>
      <c r="R85" s="63" t="s">
        <v>56</v>
      </c>
      <c r="S85" s="64" t="s">
        <v>365</v>
      </c>
      <c r="T85" s="64">
        <v>2187</v>
      </c>
      <c r="V85" s="67">
        <v>83</v>
      </c>
      <c r="W85" s="63" t="s">
        <v>56</v>
      </c>
      <c r="X85" s="64" t="s">
        <v>1784</v>
      </c>
      <c r="Y85" s="64">
        <v>3235</v>
      </c>
    </row>
    <row r="86" spans="7:25" ht="26" x14ac:dyDescent="0.35">
      <c r="G86" s="67">
        <v>84</v>
      </c>
      <c r="H86" s="63" t="s">
        <v>2681</v>
      </c>
      <c r="I86" s="64" t="s">
        <v>1131</v>
      </c>
      <c r="J86" s="64">
        <v>10699</v>
      </c>
      <c r="L86" s="40">
        <v>84</v>
      </c>
      <c r="M86" s="63" t="s">
        <v>2683</v>
      </c>
      <c r="N86" s="64" t="s">
        <v>2537</v>
      </c>
      <c r="O86" s="64">
        <v>11742</v>
      </c>
      <c r="Q86" s="40">
        <v>84</v>
      </c>
      <c r="R86" s="63" t="s">
        <v>56</v>
      </c>
      <c r="S86" s="64" t="s">
        <v>366</v>
      </c>
      <c r="T86" s="64">
        <v>2194</v>
      </c>
      <c r="V86" s="67">
        <v>84</v>
      </c>
      <c r="W86" s="63" t="s">
        <v>56</v>
      </c>
      <c r="X86" s="64" t="s">
        <v>359</v>
      </c>
      <c r="Y86" s="64">
        <v>10241</v>
      </c>
    </row>
    <row r="87" spans="7:25" ht="26" x14ac:dyDescent="0.35">
      <c r="G87" s="67">
        <v>85</v>
      </c>
      <c r="H87" s="63" t="s">
        <v>2681</v>
      </c>
      <c r="I87" s="64" t="s">
        <v>1133</v>
      </c>
      <c r="J87" s="64">
        <v>10700</v>
      </c>
      <c r="L87" s="40">
        <v>85</v>
      </c>
      <c r="M87" s="63" t="s">
        <v>2683</v>
      </c>
      <c r="N87" s="64" t="s">
        <v>2531</v>
      </c>
      <c r="O87" s="64">
        <v>11736</v>
      </c>
      <c r="Q87" s="40">
        <v>85</v>
      </c>
      <c r="R87" s="63" t="s">
        <v>56</v>
      </c>
      <c r="S87" s="64" t="s">
        <v>370</v>
      </c>
      <c r="T87" s="64">
        <v>2196</v>
      </c>
      <c r="V87" s="67">
        <v>85</v>
      </c>
      <c r="W87" s="63" t="s">
        <v>56</v>
      </c>
      <c r="X87" s="64" t="s">
        <v>1785</v>
      </c>
      <c r="Y87" s="64">
        <v>3237</v>
      </c>
    </row>
    <row r="88" spans="7:25" ht="26" x14ac:dyDescent="0.35">
      <c r="G88" s="67">
        <v>86</v>
      </c>
      <c r="H88" s="63" t="s">
        <v>2681</v>
      </c>
      <c r="I88" s="64" t="s">
        <v>1135</v>
      </c>
      <c r="J88" s="64">
        <v>10701</v>
      </c>
      <c r="L88" s="40">
        <v>86</v>
      </c>
      <c r="M88" s="63" t="s">
        <v>2683</v>
      </c>
      <c r="N88" s="64" t="s">
        <v>2534</v>
      </c>
      <c r="O88" s="64">
        <v>11739</v>
      </c>
      <c r="Q88" s="40">
        <v>86</v>
      </c>
      <c r="R88" s="63" t="s">
        <v>56</v>
      </c>
      <c r="S88" s="64" t="s">
        <v>372</v>
      </c>
      <c r="T88" s="64">
        <v>2476</v>
      </c>
      <c r="V88" s="67">
        <v>86</v>
      </c>
      <c r="W88" s="63" t="s">
        <v>56</v>
      </c>
      <c r="X88" s="64" t="s">
        <v>367</v>
      </c>
      <c r="Y88" s="64">
        <v>8225</v>
      </c>
    </row>
    <row r="89" spans="7:25" ht="26" x14ac:dyDescent="0.35">
      <c r="G89" s="67">
        <v>87</v>
      </c>
      <c r="H89" s="63" t="s">
        <v>2681</v>
      </c>
      <c r="I89" s="64" t="s">
        <v>1137</v>
      </c>
      <c r="J89" s="64">
        <v>10702</v>
      </c>
      <c r="L89" s="40">
        <v>87</v>
      </c>
      <c r="M89" s="63" t="s">
        <v>2683</v>
      </c>
      <c r="N89" s="64" t="s">
        <v>2543</v>
      </c>
      <c r="O89" s="64">
        <v>11748</v>
      </c>
      <c r="Q89" s="40">
        <v>87</v>
      </c>
      <c r="R89" s="63" t="s">
        <v>56</v>
      </c>
      <c r="S89" s="64" t="s">
        <v>375</v>
      </c>
      <c r="T89" s="64">
        <v>10493</v>
      </c>
      <c r="V89" s="67">
        <v>87</v>
      </c>
      <c r="W89" s="63" t="s">
        <v>56</v>
      </c>
      <c r="X89" s="64" t="s">
        <v>1786</v>
      </c>
      <c r="Y89" s="64">
        <v>2697</v>
      </c>
    </row>
    <row r="90" spans="7:25" ht="26" x14ac:dyDescent="0.35">
      <c r="G90" s="67">
        <v>88</v>
      </c>
      <c r="H90" s="63" t="s">
        <v>2681</v>
      </c>
      <c r="I90" s="64" t="s">
        <v>1139</v>
      </c>
      <c r="J90" s="64">
        <v>10703</v>
      </c>
      <c r="L90" s="40">
        <v>88</v>
      </c>
      <c r="M90" s="63" t="s">
        <v>2683</v>
      </c>
      <c r="N90" s="64" t="s">
        <v>2530</v>
      </c>
      <c r="O90" s="64">
        <v>11735</v>
      </c>
      <c r="Q90" s="40">
        <v>88</v>
      </c>
      <c r="R90" s="63" t="s">
        <v>56</v>
      </c>
      <c r="S90" s="64" t="s">
        <v>378</v>
      </c>
      <c r="T90" s="64">
        <v>10535</v>
      </c>
      <c r="V90" s="67">
        <v>88</v>
      </c>
      <c r="W90" s="63" t="s">
        <v>56</v>
      </c>
      <c r="X90" s="64" t="s">
        <v>1787</v>
      </c>
      <c r="Y90" s="64">
        <v>10242</v>
      </c>
    </row>
    <row r="91" spans="7:25" ht="26" x14ac:dyDescent="0.35">
      <c r="G91" s="67">
        <v>89</v>
      </c>
      <c r="H91" s="63" t="s">
        <v>2681</v>
      </c>
      <c r="I91" s="64" t="s">
        <v>1141</v>
      </c>
      <c r="J91" s="64">
        <v>11364</v>
      </c>
      <c r="L91" s="40">
        <v>89</v>
      </c>
      <c r="M91" s="63" t="s">
        <v>2683</v>
      </c>
      <c r="N91" s="64" t="s">
        <v>2544</v>
      </c>
      <c r="O91" s="64">
        <v>11749</v>
      </c>
      <c r="Q91" s="40">
        <v>89</v>
      </c>
      <c r="R91" s="63" t="s">
        <v>56</v>
      </c>
      <c r="S91" s="64" t="s">
        <v>382</v>
      </c>
      <c r="T91" s="64">
        <v>10095</v>
      </c>
      <c r="V91" s="67">
        <v>89</v>
      </c>
      <c r="W91" s="63" t="s">
        <v>56</v>
      </c>
      <c r="X91" s="64" t="s">
        <v>379</v>
      </c>
      <c r="Y91" s="64">
        <v>2699</v>
      </c>
    </row>
    <row r="92" spans="7:25" ht="26" x14ac:dyDescent="0.35">
      <c r="G92" s="67">
        <v>90</v>
      </c>
      <c r="H92" s="63" t="s">
        <v>2681</v>
      </c>
      <c r="I92" s="64" t="s">
        <v>1457</v>
      </c>
      <c r="J92" s="64">
        <v>10704</v>
      </c>
      <c r="L92" s="40">
        <v>90</v>
      </c>
      <c r="M92" s="63" t="s">
        <v>2683</v>
      </c>
      <c r="N92" s="64" t="s">
        <v>2535</v>
      </c>
      <c r="O92" s="64">
        <v>11740</v>
      </c>
      <c r="Q92" s="40">
        <v>90</v>
      </c>
      <c r="R92" s="63" t="s">
        <v>56</v>
      </c>
      <c r="S92" s="64" t="s">
        <v>386</v>
      </c>
      <c r="T92" s="64">
        <v>2201</v>
      </c>
      <c r="V92" s="67">
        <v>90</v>
      </c>
      <c r="W92" s="63" t="s">
        <v>56</v>
      </c>
      <c r="X92" s="64" t="s">
        <v>1788</v>
      </c>
      <c r="Y92" s="64">
        <v>3239</v>
      </c>
    </row>
    <row r="93" spans="7:25" ht="26" x14ac:dyDescent="0.35">
      <c r="G93" s="67">
        <v>91</v>
      </c>
      <c r="H93" s="63" t="s">
        <v>2681</v>
      </c>
      <c r="I93" s="64" t="s">
        <v>1148</v>
      </c>
      <c r="J93" s="64">
        <v>10706</v>
      </c>
      <c r="L93" s="40">
        <v>91</v>
      </c>
      <c r="M93" s="63" t="s">
        <v>2683</v>
      </c>
      <c r="N93" s="64" t="s">
        <v>2540</v>
      </c>
      <c r="O93" s="64">
        <v>11745</v>
      </c>
      <c r="Q93" s="40">
        <v>91</v>
      </c>
      <c r="R93" s="63" t="s">
        <v>56</v>
      </c>
      <c r="S93" s="64" t="s">
        <v>389</v>
      </c>
      <c r="T93" s="64">
        <v>10048</v>
      </c>
      <c r="V93" s="67">
        <v>91</v>
      </c>
      <c r="W93" s="63" t="s">
        <v>56</v>
      </c>
      <c r="X93" s="64" t="s">
        <v>1789</v>
      </c>
      <c r="Y93" s="64">
        <v>3240</v>
      </c>
    </row>
    <row r="94" spans="7:25" ht="26" x14ac:dyDescent="0.35">
      <c r="G94" s="67">
        <v>92</v>
      </c>
      <c r="H94" s="63" t="s">
        <v>2681</v>
      </c>
      <c r="I94" s="64" t="s">
        <v>1150</v>
      </c>
      <c r="J94" s="64">
        <v>10707</v>
      </c>
      <c r="L94" s="40">
        <v>92</v>
      </c>
      <c r="M94" s="63" t="s">
        <v>2683</v>
      </c>
      <c r="N94" s="64" t="s">
        <v>2532</v>
      </c>
      <c r="O94" s="64">
        <v>11737</v>
      </c>
      <c r="Q94" s="40">
        <v>92</v>
      </c>
      <c r="R94" s="63" t="s">
        <v>56</v>
      </c>
      <c r="S94" s="64" t="s">
        <v>394</v>
      </c>
      <c r="T94" s="64">
        <v>2204</v>
      </c>
      <c r="V94" s="67">
        <v>92</v>
      </c>
      <c r="W94" s="63" t="s">
        <v>56</v>
      </c>
      <c r="X94" s="64" t="s">
        <v>1790</v>
      </c>
      <c r="Y94" s="64">
        <v>2700</v>
      </c>
    </row>
    <row r="95" spans="7:25" ht="26" x14ac:dyDescent="0.35">
      <c r="G95" s="67">
        <v>93</v>
      </c>
      <c r="H95" s="63" t="s">
        <v>2681</v>
      </c>
      <c r="I95" s="64" t="s">
        <v>1152</v>
      </c>
      <c r="J95" s="64">
        <v>10708</v>
      </c>
      <c r="L95" s="40">
        <v>93</v>
      </c>
      <c r="M95" s="63" t="s">
        <v>2683</v>
      </c>
      <c r="N95" s="64" t="s">
        <v>2542</v>
      </c>
      <c r="O95" s="64">
        <v>11747</v>
      </c>
      <c r="Q95" s="40">
        <v>93</v>
      </c>
      <c r="R95" s="63" t="s">
        <v>56</v>
      </c>
      <c r="S95" s="64" t="s">
        <v>396</v>
      </c>
      <c r="T95" s="64">
        <v>2206</v>
      </c>
      <c r="V95" s="67">
        <v>93</v>
      </c>
      <c r="W95" s="63" t="s">
        <v>56</v>
      </c>
      <c r="X95" s="64" t="s">
        <v>1791</v>
      </c>
      <c r="Y95" s="64">
        <v>3241</v>
      </c>
    </row>
    <row r="96" spans="7:25" ht="26" x14ac:dyDescent="0.35">
      <c r="G96" s="67">
        <v>94</v>
      </c>
      <c r="H96" s="63" t="s">
        <v>2681</v>
      </c>
      <c r="I96" s="64" t="s">
        <v>1154</v>
      </c>
      <c r="J96" s="64">
        <v>10709</v>
      </c>
      <c r="L96" s="40">
        <v>94</v>
      </c>
      <c r="M96" s="63" t="s">
        <v>2683</v>
      </c>
      <c r="N96" s="64" t="s">
        <v>2536</v>
      </c>
      <c r="O96" s="64">
        <v>11741</v>
      </c>
      <c r="Q96" s="40">
        <v>94</v>
      </c>
      <c r="R96" s="63" t="s">
        <v>56</v>
      </c>
      <c r="S96" s="64" t="s">
        <v>399</v>
      </c>
      <c r="T96" s="64">
        <v>11160</v>
      </c>
      <c r="V96" s="67">
        <v>94</v>
      </c>
      <c r="W96" s="63" t="s">
        <v>56</v>
      </c>
      <c r="X96" s="64" t="s">
        <v>1729</v>
      </c>
      <c r="Y96" s="64">
        <v>2667</v>
      </c>
    </row>
    <row r="97" spans="7:25" ht="26" x14ac:dyDescent="0.35">
      <c r="G97" s="67">
        <v>95</v>
      </c>
      <c r="H97" s="63" t="s">
        <v>2681</v>
      </c>
      <c r="I97" s="64" t="s">
        <v>1156</v>
      </c>
      <c r="J97" s="64">
        <v>10710</v>
      </c>
      <c r="L97" s="40">
        <v>95</v>
      </c>
      <c r="M97" s="63" t="s">
        <v>2683</v>
      </c>
      <c r="N97" s="64" t="s">
        <v>2533</v>
      </c>
      <c r="O97" s="64">
        <v>11738</v>
      </c>
      <c r="Q97" s="40">
        <v>95</v>
      </c>
      <c r="R97" s="63" t="s">
        <v>56</v>
      </c>
      <c r="S97" s="64" t="s">
        <v>404</v>
      </c>
      <c r="T97" s="64">
        <v>10579</v>
      </c>
      <c r="V97" s="67">
        <v>95</v>
      </c>
      <c r="W97" s="63" t="s">
        <v>56</v>
      </c>
      <c r="X97" s="64" t="s">
        <v>1794</v>
      </c>
      <c r="Y97" s="64">
        <v>3242</v>
      </c>
    </row>
    <row r="98" spans="7:25" ht="26" x14ac:dyDescent="0.35">
      <c r="G98" s="67">
        <v>96</v>
      </c>
      <c r="H98" s="63" t="s">
        <v>2681</v>
      </c>
      <c r="I98" s="64" t="s">
        <v>1158</v>
      </c>
      <c r="J98" s="64">
        <v>10711</v>
      </c>
      <c r="L98" s="40">
        <v>96</v>
      </c>
      <c r="M98" s="63" t="s">
        <v>2693</v>
      </c>
      <c r="N98" s="64" t="s">
        <v>284</v>
      </c>
      <c r="O98" s="64">
        <v>11090</v>
      </c>
      <c r="Q98" s="40">
        <v>96</v>
      </c>
      <c r="R98" s="63" t="s">
        <v>56</v>
      </c>
      <c r="S98" s="64" t="s">
        <v>407</v>
      </c>
      <c r="T98" s="64">
        <v>2333</v>
      </c>
      <c r="V98" s="67">
        <v>96</v>
      </c>
      <c r="W98" s="63" t="s">
        <v>56</v>
      </c>
      <c r="X98" s="64" t="s">
        <v>1795</v>
      </c>
      <c r="Y98" s="64">
        <v>3243</v>
      </c>
    </row>
    <row r="99" spans="7:25" ht="26" x14ac:dyDescent="0.35">
      <c r="G99" s="67">
        <v>97</v>
      </c>
      <c r="H99" s="63" t="s">
        <v>2681</v>
      </c>
      <c r="I99" s="64" t="s">
        <v>1160</v>
      </c>
      <c r="J99" s="64">
        <v>10712</v>
      </c>
      <c r="L99" s="40">
        <v>97</v>
      </c>
      <c r="M99" s="63" t="s">
        <v>2693</v>
      </c>
      <c r="N99" s="64" t="s">
        <v>287</v>
      </c>
      <c r="O99" s="64">
        <v>11091</v>
      </c>
      <c r="Q99" s="40">
        <v>97</v>
      </c>
      <c r="R99" s="63" t="s">
        <v>56</v>
      </c>
      <c r="S99" s="64" t="s">
        <v>410</v>
      </c>
      <c r="T99" s="64">
        <v>2213</v>
      </c>
      <c r="V99" s="67">
        <v>97</v>
      </c>
      <c r="W99" s="63" t="s">
        <v>56</v>
      </c>
      <c r="X99" s="64" t="s">
        <v>1796</v>
      </c>
      <c r="Y99" s="64">
        <v>3244</v>
      </c>
    </row>
    <row r="100" spans="7:25" ht="26" x14ac:dyDescent="0.35">
      <c r="G100" s="67">
        <v>98</v>
      </c>
      <c r="H100" s="63" t="s">
        <v>2681</v>
      </c>
      <c r="I100" s="64" t="s">
        <v>1162</v>
      </c>
      <c r="J100" s="64">
        <v>10713</v>
      </c>
      <c r="L100" s="40">
        <v>98</v>
      </c>
      <c r="M100" s="63" t="s">
        <v>2693</v>
      </c>
      <c r="N100" s="64" t="s">
        <v>290</v>
      </c>
      <c r="O100" s="64">
        <v>11301</v>
      </c>
      <c r="Q100" s="40">
        <v>98</v>
      </c>
      <c r="R100" s="63" t="s">
        <v>56</v>
      </c>
      <c r="S100" s="64" t="s">
        <v>413</v>
      </c>
      <c r="T100" s="64">
        <v>8048</v>
      </c>
      <c r="V100" s="67">
        <v>98</v>
      </c>
      <c r="W100" s="63" t="s">
        <v>56</v>
      </c>
      <c r="X100" s="64" t="s">
        <v>1798</v>
      </c>
      <c r="Y100" s="64">
        <v>2704</v>
      </c>
    </row>
    <row r="101" spans="7:25" ht="26" x14ac:dyDescent="0.35">
      <c r="G101" s="67">
        <v>99</v>
      </c>
      <c r="H101" s="63" t="s">
        <v>2682</v>
      </c>
      <c r="I101" s="64" t="s">
        <v>888</v>
      </c>
      <c r="J101" s="64">
        <v>10729</v>
      </c>
      <c r="L101" s="40">
        <v>99</v>
      </c>
      <c r="M101" s="63" t="s">
        <v>2693</v>
      </c>
      <c r="N101" s="64" t="s">
        <v>293</v>
      </c>
      <c r="O101" s="64">
        <v>11092</v>
      </c>
      <c r="Q101" s="40">
        <v>99</v>
      </c>
      <c r="R101" s="63" t="s">
        <v>56</v>
      </c>
      <c r="S101" s="64" t="s">
        <v>415</v>
      </c>
      <c r="T101" s="64">
        <v>3310</v>
      </c>
      <c r="V101" s="67">
        <v>99</v>
      </c>
      <c r="W101" s="63" t="s">
        <v>56</v>
      </c>
      <c r="X101" s="64" t="s">
        <v>1799</v>
      </c>
      <c r="Y101" s="64">
        <v>2705</v>
      </c>
    </row>
    <row r="102" spans="7:25" ht="26" x14ac:dyDescent="0.35">
      <c r="G102" s="67">
        <v>100</v>
      </c>
      <c r="H102" s="63" t="s">
        <v>2682</v>
      </c>
      <c r="I102" s="64" t="s">
        <v>890</v>
      </c>
      <c r="J102" s="64">
        <v>10730</v>
      </c>
      <c r="L102" s="40">
        <v>100</v>
      </c>
      <c r="M102" s="63" t="s">
        <v>2693</v>
      </c>
      <c r="N102" s="64" t="s">
        <v>296</v>
      </c>
      <c r="O102" s="64">
        <v>11305</v>
      </c>
      <c r="Q102" s="40">
        <v>100</v>
      </c>
      <c r="R102" s="63" t="s">
        <v>56</v>
      </c>
      <c r="S102" s="64" t="s">
        <v>417</v>
      </c>
      <c r="T102" s="64">
        <v>8159</v>
      </c>
      <c r="V102" s="67">
        <v>100</v>
      </c>
      <c r="W102" s="63" t="s">
        <v>56</v>
      </c>
      <c r="X102" s="64" t="s">
        <v>1809</v>
      </c>
      <c r="Y102" s="64">
        <v>2706</v>
      </c>
    </row>
    <row r="103" spans="7:25" ht="26" x14ac:dyDescent="0.35">
      <c r="G103" s="67">
        <v>101</v>
      </c>
      <c r="H103" s="63" t="s">
        <v>2682</v>
      </c>
      <c r="I103" s="64" t="s">
        <v>898</v>
      </c>
      <c r="J103" s="64">
        <v>10734</v>
      </c>
      <c r="L103" s="40">
        <v>101</v>
      </c>
      <c r="M103" s="63" t="s">
        <v>2693</v>
      </c>
      <c r="N103" s="64" t="s">
        <v>1336</v>
      </c>
      <c r="O103" s="64">
        <v>11394</v>
      </c>
      <c r="Q103" s="40">
        <v>101</v>
      </c>
      <c r="R103" s="63" t="s">
        <v>56</v>
      </c>
      <c r="S103" s="64" t="s">
        <v>420</v>
      </c>
      <c r="T103" s="64">
        <v>2220</v>
      </c>
      <c r="V103" s="67">
        <v>101</v>
      </c>
      <c r="W103" s="63" t="s">
        <v>56</v>
      </c>
      <c r="X103" s="64" t="s">
        <v>1813</v>
      </c>
      <c r="Y103" s="64">
        <v>2710</v>
      </c>
    </row>
    <row r="104" spans="7:25" ht="26" x14ac:dyDescent="0.35">
      <c r="G104" s="67">
        <v>102</v>
      </c>
      <c r="H104" s="63" t="s">
        <v>2682</v>
      </c>
      <c r="I104" s="64" t="s">
        <v>900</v>
      </c>
      <c r="J104" s="64">
        <v>10735</v>
      </c>
      <c r="L104" s="40">
        <v>102</v>
      </c>
      <c r="M104" s="63" t="s">
        <v>2693</v>
      </c>
      <c r="N104" s="62" t="s">
        <v>299</v>
      </c>
      <c r="O104" s="62">
        <v>11093</v>
      </c>
      <c r="Q104" s="40">
        <v>102</v>
      </c>
      <c r="R104" s="63" t="s">
        <v>56</v>
      </c>
      <c r="S104" s="64" t="s">
        <v>422</v>
      </c>
      <c r="T104" s="64">
        <v>10078</v>
      </c>
      <c r="V104" s="67">
        <v>102</v>
      </c>
      <c r="W104" s="63" t="s">
        <v>56</v>
      </c>
      <c r="X104" s="64" t="s">
        <v>1814</v>
      </c>
      <c r="Y104" s="64">
        <v>10416</v>
      </c>
    </row>
    <row r="105" spans="7:25" ht="26" x14ac:dyDescent="0.35">
      <c r="G105" s="67">
        <v>103</v>
      </c>
      <c r="H105" s="63" t="s">
        <v>2682</v>
      </c>
      <c r="I105" s="64" t="s">
        <v>902</v>
      </c>
      <c r="J105" s="64">
        <v>10736</v>
      </c>
      <c r="L105" s="40">
        <v>103</v>
      </c>
      <c r="M105" s="63" t="s">
        <v>2693</v>
      </c>
      <c r="N105" s="64" t="s">
        <v>302</v>
      </c>
      <c r="O105" s="64">
        <v>11094</v>
      </c>
      <c r="Q105" s="40">
        <v>103</v>
      </c>
      <c r="R105" s="63" t="s">
        <v>56</v>
      </c>
      <c r="S105" s="64" t="s">
        <v>425</v>
      </c>
      <c r="T105" s="64">
        <v>2193</v>
      </c>
      <c r="V105" s="67">
        <v>103</v>
      </c>
      <c r="W105" s="63" t="s">
        <v>56</v>
      </c>
      <c r="X105" s="64" t="s">
        <v>1810</v>
      </c>
      <c r="Y105" s="64">
        <v>2713</v>
      </c>
    </row>
    <row r="106" spans="7:25" ht="26" x14ac:dyDescent="0.35">
      <c r="G106" s="67">
        <v>104</v>
      </c>
      <c r="H106" s="63" t="s">
        <v>2682</v>
      </c>
      <c r="I106" s="64" t="s">
        <v>906</v>
      </c>
      <c r="J106" s="64">
        <v>10738</v>
      </c>
      <c r="L106" s="40">
        <v>104</v>
      </c>
      <c r="M106" s="63" t="s">
        <v>2693</v>
      </c>
      <c r="N106" s="64" t="s">
        <v>304</v>
      </c>
      <c r="O106" s="64">
        <v>11095</v>
      </c>
      <c r="Q106" s="40">
        <v>104</v>
      </c>
      <c r="R106" s="63" t="s">
        <v>56</v>
      </c>
      <c r="S106" s="64" t="s">
        <v>427</v>
      </c>
      <c r="T106" s="64">
        <v>10079</v>
      </c>
      <c r="V106" s="67">
        <v>104</v>
      </c>
      <c r="W106" s="63" t="s">
        <v>56</v>
      </c>
      <c r="X106" s="64" t="s">
        <v>1811</v>
      </c>
      <c r="Y106" s="64">
        <v>2714</v>
      </c>
    </row>
    <row r="107" spans="7:25" ht="26" x14ac:dyDescent="0.35">
      <c r="G107" s="67">
        <v>105</v>
      </c>
      <c r="H107" s="63" t="s">
        <v>2682</v>
      </c>
      <c r="I107" s="64" t="s">
        <v>908</v>
      </c>
      <c r="J107" s="64">
        <v>10739</v>
      </c>
      <c r="L107" s="40">
        <v>105</v>
      </c>
      <c r="M107" s="63" t="s">
        <v>2693</v>
      </c>
      <c r="N107" s="64" t="s">
        <v>1214</v>
      </c>
      <c r="O107" s="64">
        <v>11401</v>
      </c>
      <c r="Q107" s="40">
        <v>105</v>
      </c>
      <c r="R107" s="63" t="s">
        <v>56</v>
      </c>
      <c r="S107" s="64" t="s">
        <v>432</v>
      </c>
      <c r="T107" s="64">
        <v>10028</v>
      </c>
      <c r="V107" s="67">
        <v>105</v>
      </c>
      <c r="W107" s="63" t="s">
        <v>56</v>
      </c>
      <c r="X107" s="64" t="s">
        <v>1815</v>
      </c>
      <c r="Y107" s="64">
        <v>3246</v>
      </c>
    </row>
    <row r="108" spans="7:25" ht="26" x14ac:dyDescent="0.35">
      <c r="G108" s="67">
        <v>106</v>
      </c>
      <c r="H108" s="63" t="s">
        <v>2682</v>
      </c>
      <c r="I108" s="64" t="s">
        <v>935</v>
      </c>
      <c r="J108" s="64">
        <v>10752</v>
      </c>
      <c r="L108" s="40">
        <v>106</v>
      </c>
      <c r="M108" s="63" t="s">
        <v>2693</v>
      </c>
      <c r="N108" s="64" t="s">
        <v>1337</v>
      </c>
      <c r="O108" s="64">
        <v>11395</v>
      </c>
      <c r="Q108" s="40">
        <v>106</v>
      </c>
      <c r="R108" s="63" t="s">
        <v>56</v>
      </c>
      <c r="S108" s="64" t="s">
        <v>436</v>
      </c>
      <c r="T108" s="64">
        <v>10581</v>
      </c>
      <c r="V108" s="67">
        <v>106</v>
      </c>
      <c r="W108" s="63" t="s">
        <v>56</v>
      </c>
      <c r="X108" s="64" t="s">
        <v>1812</v>
      </c>
      <c r="Y108" s="64">
        <v>2715</v>
      </c>
    </row>
    <row r="109" spans="7:25" ht="26" x14ac:dyDescent="0.35">
      <c r="G109" s="67">
        <v>107</v>
      </c>
      <c r="H109" s="63" t="s">
        <v>2682</v>
      </c>
      <c r="I109" s="64" t="s">
        <v>937</v>
      </c>
      <c r="J109" s="64">
        <v>10753</v>
      </c>
      <c r="L109" s="40">
        <v>107</v>
      </c>
      <c r="M109" s="63" t="s">
        <v>2693</v>
      </c>
      <c r="N109" s="64" t="s">
        <v>306</v>
      </c>
      <c r="O109" s="64">
        <v>11306</v>
      </c>
      <c r="Q109" s="40">
        <v>107</v>
      </c>
      <c r="R109" s="63" t="s">
        <v>56</v>
      </c>
      <c r="S109" s="64" t="s">
        <v>438</v>
      </c>
      <c r="T109" s="64">
        <v>2222</v>
      </c>
      <c r="V109" s="67">
        <v>107</v>
      </c>
      <c r="W109" s="63" t="s">
        <v>56</v>
      </c>
      <c r="X109" s="64" t="s">
        <v>1890</v>
      </c>
      <c r="Y109" s="64">
        <v>8299</v>
      </c>
    </row>
    <row r="110" spans="7:25" ht="26" x14ac:dyDescent="0.35">
      <c r="G110" s="67">
        <v>108</v>
      </c>
      <c r="H110" s="63" t="s">
        <v>2682</v>
      </c>
      <c r="I110" s="64" t="s">
        <v>939</v>
      </c>
      <c r="J110" s="64">
        <v>10754</v>
      </c>
      <c r="L110" s="40">
        <v>108</v>
      </c>
      <c r="M110" s="63" t="s">
        <v>2693</v>
      </c>
      <c r="N110" s="64" t="s">
        <v>308</v>
      </c>
      <c r="O110" s="64">
        <v>11307</v>
      </c>
      <c r="Q110" s="40">
        <v>108</v>
      </c>
      <c r="R110" s="63" t="s">
        <v>56</v>
      </c>
      <c r="S110" s="64" t="s">
        <v>442</v>
      </c>
      <c r="T110" s="64">
        <v>108</v>
      </c>
      <c r="V110" s="67">
        <v>108</v>
      </c>
      <c r="W110" s="63" t="s">
        <v>56</v>
      </c>
      <c r="X110" s="64" t="s">
        <v>1817</v>
      </c>
      <c r="Y110" s="64">
        <v>2716</v>
      </c>
    </row>
    <row r="111" spans="7:25" ht="26" x14ac:dyDescent="0.35">
      <c r="G111" s="67">
        <v>109</v>
      </c>
      <c r="H111" s="63" t="s">
        <v>2682</v>
      </c>
      <c r="I111" s="64" t="s">
        <v>941</v>
      </c>
      <c r="J111" s="64">
        <v>10755</v>
      </c>
      <c r="L111" s="40">
        <v>109</v>
      </c>
      <c r="M111" s="63" t="s">
        <v>2693</v>
      </c>
      <c r="N111" s="64" t="s">
        <v>311</v>
      </c>
      <c r="O111" s="64">
        <v>11097</v>
      </c>
      <c r="Q111" s="40">
        <v>109</v>
      </c>
      <c r="R111" s="63" t="s">
        <v>56</v>
      </c>
      <c r="S111" s="64" t="s">
        <v>445</v>
      </c>
      <c r="T111" s="64">
        <v>2225</v>
      </c>
      <c r="V111" s="67">
        <v>109</v>
      </c>
      <c r="W111" s="63" t="s">
        <v>56</v>
      </c>
      <c r="X111" s="64" t="s">
        <v>1818</v>
      </c>
      <c r="Y111" s="64">
        <v>2717</v>
      </c>
    </row>
    <row r="112" spans="7:25" ht="26" x14ac:dyDescent="0.35">
      <c r="G112" s="67">
        <v>110</v>
      </c>
      <c r="H112" s="63" t="s">
        <v>2682</v>
      </c>
      <c r="I112" s="64" t="s">
        <v>947</v>
      </c>
      <c r="J112" s="64">
        <v>10758</v>
      </c>
      <c r="L112" s="40">
        <v>110</v>
      </c>
      <c r="M112" s="63" t="s">
        <v>2693</v>
      </c>
      <c r="N112" s="64" t="s">
        <v>1338</v>
      </c>
      <c r="O112" s="64">
        <v>11396</v>
      </c>
      <c r="Q112" s="40">
        <v>110</v>
      </c>
      <c r="R112" s="63" t="s">
        <v>56</v>
      </c>
      <c r="S112" s="64" t="s">
        <v>449</v>
      </c>
      <c r="T112" s="64">
        <v>8131</v>
      </c>
      <c r="V112" s="67">
        <v>110</v>
      </c>
      <c r="W112" s="63" t="s">
        <v>56</v>
      </c>
      <c r="X112" s="64" t="s">
        <v>1819</v>
      </c>
      <c r="Y112" s="64">
        <v>3248</v>
      </c>
    </row>
    <row r="113" spans="7:25" ht="26" x14ac:dyDescent="0.35">
      <c r="G113" s="67">
        <v>111</v>
      </c>
      <c r="H113" s="63" t="s">
        <v>2682</v>
      </c>
      <c r="I113" s="64" t="s">
        <v>955</v>
      </c>
      <c r="J113" s="64">
        <v>11345</v>
      </c>
      <c r="L113" s="40">
        <v>111</v>
      </c>
      <c r="M113" s="63" t="s">
        <v>2693</v>
      </c>
      <c r="N113" s="64" t="s">
        <v>315</v>
      </c>
      <c r="O113" s="64">
        <v>10044</v>
      </c>
      <c r="Q113" s="40">
        <v>111</v>
      </c>
      <c r="R113" s="63" t="s">
        <v>56</v>
      </c>
      <c r="S113" s="64" t="s">
        <v>452</v>
      </c>
      <c r="T113" s="64">
        <v>3319</v>
      </c>
      <c r="V113" s="67">
        <v>111</v>
      </c>
      <c r="W113" s="63" t="s">
        <v>56</v>
      </c>
      <c r="X113" s="64" t="s">
        <v>1816</v>
      </c>
      <c r="Y113" s="64">
        <v>8339</v>
      </c>
    </row>
    <row r="114" spans="7:25" ht="26" x14ac:dyDescent="0.35">
      <c r="G114" s="67">
        <v>112</v>
      </c>
      <c r="H114" s="63" t="s">
        <v>2682</v>
      </c>
      <c r="I114" s="64" t="s">
        <v>979</v>
      </c>
      <c r="J114" s="64">
        <v>10772</v>
      </c>
      <c r="L114" s="40">
        <v>112</v>
      </c>
      <c r="M114" s="63" t="s">
        <v>2693</v>
      </c>
      <c r="N114" s="64" t="s">
        <v>1538</v>
      </c>
      <c r="O114" s="64">
        <v>11578</v>
      </c>
      <c r="Q114" s="40">
        <v>112</v>
      </c>
      <c r="R114" s="63" t="s">
        <v>56</v>
      </c>
      <c r="S114" s="64" t="s">
        <v>455</v>
      </c>
      <c r="T114" s="64">
        <v>2229</v>
      </c>
      <c r="V114" s="67">
        <v>112</v>
      </c>
      <c r="W114" s="63" t="s">
        <v>56</v>
      </c>
      <c r="X114" s="64" t="s">
        <v>1820</v>
      </c>
      <c r="Y114" s="64">
        <v>3249</v>
      </c>
    </row>
    <row r="115" spans="7:25" ht="26" x14ac:dyDescent="0.35">
      <c r="G115" s="67">
        <v>113</v>
      </c>
      <c r="H115" s="63" t="s">
        <v>2682</v>
      </c>
      <c r="I115" s="64" t="s">
        <v>982</v>
      </c>
      <c r="J115" s="64">
        <v>10773</v>
      </c>
      <c r="L115" s="40">
        <v>113</v>
      </c>
      <c r="M115" s="63" t="s">
        <v>2693</v>
      </c>
      <c r="N115" s="64" t="s">
        <v>2855</v>
      </c>
      <c r="O115" s="64">
        <v>11997</v>
      </c>
      <c r="Q115" s="40">
        <v>113</v>
      </c>
      <c r="R115" s="63" t="s">
        <v>56</v>
      </c>
      <c r="S115" s="64" t="s">
        <v>457</v>
      </c>
      <c r="T115" s="64">
        <v>2231</v>
      </c>
      <c r="V115" s="67">
        <v>113</v>
      </c>
      <c r="W115" s="63" t="s">
        <v>56</v>
      </c>
      <c r="X115" s="64" t="s">
        <v>1821</v>
      </c>
      <c r="Y115" s="64">
        <v>3250</v>
      </c>
    </row>
    <row r="116" spans="7:25" ht="26" x14ac:dyDescent="0.35">
      <c r="G116" s="67">
        <v>114</v>
      </c>
      <c r="H116" s="63" t="s">
        <v>2682</v>
      </c>
      <c r="I116" s="64" t="s">
        <v>989</v>
      </c>
      <c r="J116" s="64">
        <v>10776</v>
      </c>
      <c r="L116" s="40">
        <v>114</v>
      </c>
      <c r="M116" s="63" t="s">
        <v>2693</v>
      </c>
      <c r="N116" s="64" t="s">
        <v>1339</v>
      </c>
      <c r="O116" s="64">
        <v>11397</v>
      </c>
      <c r="Q116" s="40">
        <v>114</v>
      </c>
      <c r="R116" s="63" t="s">
        <v>56</v>
      </c>
      <c r="S116" s="64" t="s">
        <v>459</v>
      </c>
      <c r="T116" s="64">
        <v>2232</v>
      </c>
      <c r="V116" s="67">
        <v>114</v>
      </c>
      <c r="W116" s="63" t="s">
        <v>56</v>
      </c>
      <c r="X116" s="64" t="s">
        <v>1822</v>
      </c>
      <c r="Y116" s="64">
        <v>10245</v>
      </c>
    </row>
    <row r="117" spans="7:25" ht="26" x14ac:dyDescent="0.35">
      <c r="G117" s="67">
        <v>115</v>
      </c>
      <c r="H117" s="63" t="s">
        <v>2682</v>
      </c>
      <c r="I117" s="64" t="s">
        <v>991</v>
      </c>
      <c r="J117" s="64">
        <v>10777</v>
      </c>
      <c r="L117" s="40">
        <v>115</v>
      </c>
      <c r="M117" s="63" t="s">
        <v>2693</v>
      </c>
      <c r="N117" s="64" t="s">
        <v>324</v>
      </c>
      <c r="O117" s="64">
        <v>11100</v>
      </c>
      <c r="Q117" s="40">
        <v>115</v>
      </c>
      <c r="R117" s="63" t="s">
        <v>56</v>
      </c>
      <c r="S117" s="64" t="s">
        <v>461</v>
      </c>
      <c r="T117" s="64">
        <v>52</v>
      </c>
      <c r="V117" s="67">
        <v>115</v>
      </c>
      <c r="W117" s="63" t="s">
        <v>56</v>
      </c>
      <c r="X117" s="64" t="s">
        <v>1823</v>
      </c>
      <c r="Y117" s="64">
        <v>8211</v>
      </c>
    </row>
    <row r="118" spans="7:25" ht="26" x14ac:dyDescent="0.35">
      <c r="G118" s="67">
        <v>116</v>
      </c>
      <c r="H118" s="63" t="s">
        <v>2683</v>
      </c>
      <c r="I118" s="64" t="s">
        <v>871</v>
      </c>
      <c r="J118" s="64">
        <v>10791</v>
      </c>
      <c r="L118" s="40">
        <v>116</v>
      </c>
      <c r="M118" s="63" t="s">
        <v>2693</v>
      </c>
      <c r="N118" s="64" t="s">
        <v>325</v>
      </c>
      <c r="O118" s="64">
        <v>11302</v>
      </c>
      <c r="Q118" s="40">
        <v>116</v>
      </c>
      <c r="R118" s="63" t="s">
        <v>56</v>
      </c>
      <c r="S118" s="64" t="s">
        <v>463</v>
      </c>
      <c r="T118" s="64">
        <v>2237</v>
      </c>
      <c r="V118" s="67">
        <v>116</v>
      </c>
      <c r="W118" s="63" t="s">
        <v>56</v>
      </c>
      <c r="X118" s="64" t="s">
        <v>470</v>
      </c>
      <c r="Y118" s="64">
        <v>10336</v>
      </c>
    </row>
    <row r="119" spans="7:25" ht="26" x14ac:dyDescent="0.35">
      <c r="G119" s="67">
        <v>117</v>
      </c>
      <c r="H119" s="63" t="s">
        <v>2683</v>
      </c>
      <c r="I119" s="64" t="s">
        <v>873</v>
      </c>
      <c r="J119" s="64">
        <v>10792</v>
      </c>
      <c r="L119" s="40">
        <v>117</v>
      </c>
      <c r="M119" s="63" t="s">
        <v>2693</v>
      </c>
      <c r="N119" s="64" t="s">
        <v>328</v>
      </c>
      <c r="O119" s="64">
        <v>11304</v>
      </c>
      <c r="Q119" s="40">
        <v>117</v>
      </c>
      <c r="R119" s="63" t="s">
        <v>56</v>
      </c>
      <c r="S119" s="64" t="s">
        <v>465</v>
      </c>
      <c r="T119" s="64">
        <v>8095</v>
      </c>
      <c r="V119" s="67">
        <v>117</v>
      </c>
      <c r="W119" s="63" t="s">
        <v>56</v>
      </c>
      <c r="X119" s="64" t="s">
        <v>1824</v>
      </c>
      <c r="Y119" s="64">
        <v>10247</v>
      </c>
    </row>
    <row r="120" spans="7:25" ht="26" x14ac:dyDescent="0.35">
      <c r="G120" s="67">
        <v>118</v>
      </c>
      <c r="H120" s="63" t="s">
        <v>2683</v>
      </c>
      <c r="I120" s="64" t="s">
        <v>875</v>
      </c>
      <c r="J120" s="64">
        <v>10793</v>
      </c>
      <c r="L120" s="40">
        <v>118</v>
      </c>
      <c r="M120" s="63" t="s">
        <v>2693</v>
      </c>
      <c r="N120" s="64" t="s">
        <v>330</v>
      </c>
      <c r="O120" s="64">
        <v>11303</v>
      </c>
      <c r="Q120" s="40">
        <v>118</v>
      </c>
      <c r="R120" s="63" t="s">
        <v>56</v>
      </c>
      <c r="S120" s="64" t="s">
        <v>471</v>
      </c>
      <c r="T120" s="64">
        <v>11163</v>
      </c>
      <c r="V120" s="67">
        <v>118</v>
      </c>
      <c r="W120" s="63" t="s">
        <v>56</v>
      </c>
      <c r="X120" s="64" t="s">
        <v>1825</v>
      </c>
      <c r="Y120" s="64">
        <v>2719</v>
      </c>
    </row>
    <row r="121" spans="7:25" ht="26" x14ac:dyDescent="0.35">
      <c r="G121" s="67">
        <v>119</v>
      </c>
      <c r="H121" s="63" t="s">
        <v>2683</v>
      </c>
      <c r="I121" s="64" t="s">
        <v>877</v>
      </c>
      <c r="J121" s="64">
        <v>10794</v>
      </c>
      <c r="L121" s="40">
        <v>119</v>
      </c>
      <c r="M121" s="63" t="s">
        <v>2693</v>
      </c>
      <c r="N121" s="64" t="s">
        <v>334</v>
      </c>
      <c r="O121" s="64">
        <v>11102</v>
      </c>
      <c r="Q121" s="40">
        <v>119</v>
      </c>
      <c r="R121" s="63" t="s">
        <v>56</v>
      </c>
      <c r="S121" s="64" t="s">
        <v>473</v>
      </c>
      <c r="T121" s="64">
        <v>11161</v>
      </c>
      <c r="V121" s="67">
        <v>119</v>
      </c>
      <c r="W121" s="63" t="s">
        <v>56</v>
      </c>
      <c r="X121" s="64" t="s">
        <v>2335</v>
      </c>
      <c r="Y121" s="64">
        <v>3042</v>
      </c>
    </row>
    <row r="122" spans="7:25" ht="26" x14ac:dyDescent="0.35">
      <c r="G122" s="67">
        <v>120</v>
      </c>
      <c r="H122" s="63" t="s">
        <v>2683</v>
      </c>
      <c r="I122" s="64" t="s">
        <v>881</v>
      </c>
      <c r="J122" s="64">
        <v>10796</v>
      </c>
      <c r="L122" s="40">
        <v>120</v>
      </c>
      <c r="M122" s="63" t="s">
        <v>2693</v>
      </c>
      <c r="N122" s="64" t="s">
        <v>337</v>
      </c>
      <c r="O122" s="64">
        <v>11103</v>
      </c>
      <c r="Q122" s="40">
        <v>120</v>
      </c>
      <c r="R122" s="63" t="s">
        <v>56</v>
      </c>
      <c r="S122" s="64" t="s">
        <v>475</v>
      </c>
      <c r="T122" s="64">
        <v>11162</v>
      </c>
      <c r="V122" s="67">
        <v>120</v>
      </c>
      <c r="W122" s="63" t="s">
        <v>56</v>
      </c>
      <c r="X122" s="64" t="s">
        <v>1826</v>
      </c>
      <c r="Y122" s="64">
        <v>10246</v>
      </c>
    </row>
    <row r="123" spans="7:25" ht="26" x14ac:dyDescent="0.35">
      <c r="G123" s="67">
        <v>121</v>
      </c>
      <c r="H123" s="63" t="s">
        <v>2683</v>
      </c>
      <c r="I123" s="64" t="s">
        <v>883</v>
      </c>
      <c r="J123" s="64">
        <v>10797</v>
      </c>
      <c r="L123" s="40">
        <v>121</v>
      </c>
      <c r="M123" s="63" t="s">
        <v>2693</v>
      </c>
      <c r="N123" s="64" t="s">
        <v>340</v>
      </c>
      <c r="O123" s="64">
        <v>11104</v>
      </c>
      <c r="Q123" s="40">
        <v>121</v>
      </c>
      <c r="R123" s="63" t="s">
        <v>56</v>
      </c>
      <c r="S123" s="64" t="s">
        <v>477</v>
      </c>
      <c r="T123" s="64">
        <v>8067</v>
      </c>
      <c r="V123" s="67">
        <v>121</v>
      </c>
      <c r="W123" s="63" t="s">
        <v>56</v>
      </c>
      <c r="X123" s="64" t="s">
        <v>1828</v>
      </c>
      <c r="Y123" s="64">
        <v>8165</v>
      </c>
    </row>
    <row r="124" spans="7:25" ht="26" x14ac:dyDescent="0.35">
      <c r="G124" s="67">
        <v>122</v>
      </c>
      <c r="H124" s="63" t="s">
        <v>2684</v>
      </c>
      <c r="I124" s="64" t="s">
        <v>53</v>
      </c>
      <c r="J124" s="64">
        <v>10913</v>
      </c>
      <c r="L124" s="40">
        <v>122</v>
      </c>
      <c r="M124" s="63" t="s">
        <v>2693</v>
      </c>
      <c r="N124" s="64" t="s">
        <v>1539</v>
      </c>
      <c r="O124" s="64">
        <v>11579</v>
      </c>
      <c r="Q124" s="40">
        <v>122</v>
      </c>
      <c r="R124" s="63" t="s">
        <v>56</v>
      </c>
      <c r="S124" s="64" t="s">
        <v>481</v>
      </c>
      <c r="T124" s="64">
        <v>8143</v>
      </c>
      <c r="V124" s="67">
        <v>122</v>
      </c>
      <c r="W124" s="63" t="s">
        <v>56</v>
      </c>
      <c r="X124" s="64" t="s">
        <v>1829</v>
      </c>
      <c r="Y124" s="64">
        <v>10248</v>
      </c>
    </row>
    <row r="125" spans="7:25" ht="26" x14ac:dyDescent="0.35">
      <c r="G125" s="67">
        <v>123</v>
      </c>
      <c r="H125" s="63" t="s">
        <v>2684</v>
      </c>
      <c r="I125" s="64" t="s">
        <v>59</v>
      </c>
      <c r="J125" s="64">
        <v>10914</v>
      </c>
      <c r="L125" s="40">
        <v>123</v>
      </c>
      <c r="M125" s="63" t="s">
        <v>2693</v>
      </c>
      <c r="N125" s="64" t="s">
        <v>1540</v>
      </c>
      <c r="O125" s="64">
        <v>11580</v>
      </c>
      <c r="Q125" s="40">
        <v>123</v>
      </c>
      <c r="R125" s="63" t="s">
        <v>56</v>
      </c>
      <c r="S125" s="64" t="s">
        <v>483</v>
      </c>
      <c r="T125" s="64">
        <v>2255</v>
      </c>
      <c r="V125" s="67">
        <v>123</v>
      </c>
      <c r="W125" s="63" t="s">
        <v>56</v>
      </c>
      <c r="X125" s="64" t="s">
        <v>1830</v>
      </c>
      <c r="Y125" s="64">
        <v>2721</v>
      </c>
    </row>
    <row r="126" spans="7:25" ht="26" x14ac:dyDescent="0.35">
      <c r="G126" s="67">
        <v>124</v>
      </c>
      <c r="H126" s="63" t="s">
        <v>2684</v>
      </c>
      <c r="I126" s="64" t="s">
        <v>66</v>
      </c>
      <c r="J126" s="64">
        <v>10916</v>
      </c>
      <c r="L126" s="40">
        <v>124</v>
      </c>
      <c r="M126" s="63" t="s">
        <v>2693</v>
      </c>
      <c r="N126" s="64" t="s">
        <v>344</v>
      </c>
      <c r="O126" s="64">
        <v>11105</v>
      </c>
      <c r="Q126" s="40">
        <v>124</v>
      </c>
      <c r="R126" s="63" t="s">
        <v>56</v>
      </c>
      <c r="S126" s="64" t="s">
        <v>485</v>
      </c>
      <c r="T126" s="64">
        <v>2253</v>
      </c>
      <c r="V126" s="67">
        <v>124</v>
      </c>
      <c r="W126" s="63" t="s">
        <v>56</v>
      </c>
      <c r="X126" s="64" t="s">
        <v>1831</v>
      </c>
      <c r="Y126" s="64">
        <v>3251</v>
      </c>
    </row>
    <row r="127" spans="7:25" ht="26" x14ac:dyDescent="0.35">
      <c r="G127" s="67">
        <v>125</v>
      </c>
      <c r="H127" s="63" t="s">
        <v>2684</v>
      </c>
      <c r="I127" s="64" t="s">
        <v>70</v>
      </c>
      <c r="J127" s="64">
        <v>10917</v>
      </c>
      <c r="L127" s="40">
        <v>125</v>
      </c>
      <c r="M127" s="63" t="s">
        <v>2693</v>
      </c>
      <c r="N127" s="64" t="s">
        <v>347</v>
      </c>
      <c r="O127" s="64">
        <v>11170</v>
      </c>
      <c r="Q127" s="40">
        <v>125</v>
      </c>
      <c r="R127" s="63" t="s">
        <v>56</v>
      </c>
      <c r="S127" s="64" t="s">
        <v>487</v>
      </c>
      <c r="T127" s="64">
        <v>2256</v>
      </c>
      <c r="V127" s="67">
        <v>125</v>
      </c>
      <c r="W127" s="63" t="s">
        <v>56</v>
      </c>
      <c r="X127" s="64" t="s">
        <v>1832</v>
      </c>
      <c r="Y127" s="64">
        <v>3252</v>
      </c>
    </row>
    <row r="128" spans="7:25" ht="26" x14ac:dyDescent="0.35">
      <c r="G128" s="67">
        <v>126</v>
      </c>
      <c r="H128" s="63" t="s">
        <v>2684</v>
      </c>
      <c r="I128" s="64" t="s">
        <v>74</v>
      </c>
      <c r="J128" s="64">
        <v>10918</v>
      </c>
      <c r="L128" s="40">
        <v>126</v>
      </c>
      <c r="M128" s="63" t="s">
        <v>2693</v>
      </c>
      <c r="N128" s="64" t="s">
        <v>1541</v>
      </c>
      <c r="O128" s="64">
        <v>11581</v>
      </c>
      <c r="Q128" s="40">
        <v>126</v>
      </c>
      <c r="R128" s="63" t="s">
        <v>56</v>
      </c>
      <c r="S128" s="64" t="s">
        <v>489</v>
      </c>
      <c r="T128" s="64">
        <v>3226</v>
      </c>
      <c r="V128" s="67">
        <v>126</v>
      </c>
      <c r="W128" s="63" t="s">
        <v>56</v>
      </c>
      <c r="X128" s="64" t="s">
        <v>2277</v>
      </c>
      <c r="Y128" s="64">
        <v>10286</v>
      </c>
    </row>
    <row r="129" spans="7:25" ht="26" x14ac:dyDescent="0.35">
      <c r="G129" s="67">
        <v>127</v>
      </c>
      <c r="H129" s="63" t="s">
        <v>2684</v>
      </c>
      <c r="I129" s="64" t="s">
        <v>78</v>
      </c>
      <c r="J129" s="64">
        <v>10919</v>
      </c>
      <c r="L129" s="40">
        <v>127</v>
      </c>
      <c r="M129" s="63" t="s">
        <v>2685</v>
      </c>
      <c r="N129" s="64" t="s">
        <v>1488</v>
      </c>
      <c r="O129" s="64">
        <v>11523</v>
      </c>
      <c r="Q129" s="40">
        <v>127</v>
      </c>
      <c r="R129" s="63" t="s">
        <v>56</v>
      </c>
      <c r="S129" s="64" t="s">
        <v>491</v>
      </c>
      <c r="T129" s="64">
        <v>2259</v>
      </c>
      <c r="V129" s="67">
        <v>127</v>
      </c>
      <c r="W129" s="63" t="s">
        <v>56</v>
      </c>
      <c r="X129" s="64" t="s">
        <v>1834</v>
      </c>
      <c r="Y129" s="64">
        <v>8304</v>
      </c>
    </row>
    <row r="130" spans="7:25" ht="26" x14ac:dyDescent="0.35">
      <c r="G130" s="67">
        <v>128</v>
      </c>
      <c r="H130" s="63" t="s">
        <v>2684</v>
      </c>
      <c r="I130" s="64" t="s">
        <v>82</v>
      </c>
      <c r="J130" s="64">
        <v>10920</v>
      </c>
      <c r="L130" s="40">
        <v>128</v>
      </c>
      <c r="M130" s="63" t="s">
        <v>2685</v>
      </c>
      <c r="N130" s="64" t="s">
        <v>60</v>
      </c>
      <c r="O130" s="64">
        <v>11110</v>
      </c>
      <c r="Q130" s="40">
        <v>128</v>
      </c>
      <c r="R130" s="63" t="s">
        <v>56</v>
      </c>
      <c r="S130" s="64" t="s">
        <v>493</v>
      </c>
      <c r="T130" s="64">
        <v>2260</v>
      </c>
      <c r="V130" s="67">
        <v>128</v>
      </c>
      <c r="W130" s="63" t="s">
        <v>56</v>
      </c>
      <c r="X130" s="64" t="s">
        <v>504</v>
      </c>
      <c r="Y130" s="64">
        <v>2148</v>
      </c>
    </row>
    <row r="131" spans="7:25" ht="26" x14ac:dyDescent="0.35">
      <c r="G131" s="67">
        <v>129</v>
      </c>
      <c r="H131" s="63" t="s">
        <v>2684</v>
      </c>
      <c r="I131" s="64" t="s">
        <v>86</v>
      </c>
      <c r="J131" s="64">
        <v>10921</v>
      </c>
      <c r="L131" s="40">
        <v>129</v>
      </c>
      <c r="M131" s="63" t="s">
        <v>2685</v>
      </c>
      <c r="N131" s="64" t="s">
        <v>102</v>
      </c>
      <c r="O131" s="64">
        <v>11981</v>
      </c>
      <c r="Q131" s="40">
        <v>129</v>
      </c>
      <c r="R131" s="63" t="s">
        <v>56</v>
      </c>
      <c r="S131" s="64" t="s">
        <v>494</v>
      </c>
      <c r="T131" s="64">
        <v>11164</v>
      </c>
      <c r="V131" s="67">
        <v>129</v>
      </c>
      <c r="W131" s="63" t="s">
        <v>56</v>
      </c>
      <c r="X131" s="64" t="s">
        <v>1835</v>
      </c>
      <c r="Y131" s="64">
        <v>3255</v>
      </c>
    </row>
    <row r="132" spans="7:25" ht="26" x14ac:dyDescent="0.35">
      <c r="G132" s="67">
        <v>130</v>
      </c>
      <c r="H132" s="63" t="s">
        <v>2684</v>
      </c>
      <c r="I132" s="64" t="s">
        <v>90</v>
      </c>
      <c r="J132" s="64">
        <v>10922</v>
      </c>
      <c r="L132" s="40">
        <v>130</v>
      </c>
      <c r="M132" s="63" t="s">
        <v>2685</v>
      </c>
      <c r="N132" s="64" t="s">
        <v>71</v>
      </c>
      <c r="O132" s="64">
        <v>11112</v>
      </c>
      <c r="Q132" s="40">
        <v>130</v>
      </c>
      <c r="R132" s="63" t="s">
        <v>56</v>
      </c>
      <c r="S132" s="64" t="s">
        <v>495</v>
      </c>
      <c r="T132" s="64">
        <v>2262</v>
      </c>
      <c r="V132" s="67">
        <v>130</v>
      </c>
      <c r="W132" s="63" t="s">
        <v>56</v>
      </c>
      <c r="X132" s="64" t="s">
        <v>1836</v>
      </c>
      <c r="Y132" s="64">
        <v>3256</v>
      </c>
    </row>
    <row r="133" spans="7:25" ht="26" x14ac:dyDescent="0.35">
      <c r="G133" s="67">
        <v>131</v>
      </c>
      <c r="H133" s="63" t="s">
        <v>2684</v>
      </c>
      <c r="I133" s="64" t="s">
        <v>93</v>
      </c>
      <c r="J133" s="64">
        <v>11084</v>
      </c>
      <c r="L133" s="40">
        <v>131</v>
      </c>
      <c r="M133" s="63" t="s">
        <v>2685</v>
      </c>
      <c r="N133" s="64" t="s">
        <v>75</v>
      </c>
      <c r="O133" s="64">
        <v>11246</v>
      </c>
      <c r="Q133" s="40">
        <v>131</v>
      </c>
      <c r="R133" s="63" t="s">
        <v>56</v>
      </c>
      <c r="S133" s="64" t="s">
        <v>497</v>
      </c>
      <c r="T133" s="64">
        <v>10428</v>
      </c>
      <c r="V133" s="67">
        <v>131</v>
      </c>
      <c r="W133" s="63" t="s">
        <v>56</v>
      </c>
      <c r="X133" s="64" t="s">
        <v>1837</v>
      </c>
      <c r="Y133" s="64">
        <v>3257</v>
      </c>
    </row>
    <row r="134" spans="7:25" ht="26" x14ac:dyDescent="0.35">
      <c r="G134" s="67">
        <v>132</v>
      </c>
      <c r="H134" s="63" t="s">
        <v>2684</v>
      </c>
      <c r="I134" s="64" t="s">
        <v>104</v>
      </c>
      <c r="J134" s="64">
        <v>10925</v>
      </c>
      <c r="L134" s="40">
        <v>132</v>
      </c>
      <c r="M134" s="63" t="s">
        <v>2685</v>
      </c>
      <c r="N134" s="64" t="s">
        <v>79</v>
      </c>
      <c r="O134" s="64">
        <v>11310</v>
      </c>
      <c r="Q134" s="40">
        <v>132</v>
      </c>
      <c r="R134" s="63" t="s">
        <v>56</v>
      </c>
      <c r="S134" s="64" t="s">
        <v>499</v>
      </c>
      <c r="T134" s="64">
        <v>2266</v>
      </c>
      <c r="V134" s="67">
        <v>132</v>
      </c>
      <c r="W134" s="63" t="s">
        <v>56</v>
      </c>
      <c r="X134" s="64" t="s">
        <v>2323</v>
      </c>
      <c r="Y134" s="64">
        <v>3492</v>
      </c>
    </row>
    <row r="135" spans="7:25" ht="26" x14ac:dyDescent="0.35">
      <c r="G135" s="67">
        <v>133</v>
      </c>
      <c r="H135" s="63" t="s">
        <v>2684</v>
      </c>
      <c r="I135" s="64" t="s">
        <v>112</v>
      </c>
      <c r="J135" s="64">
        <v>10927</v>
      </c>
      <c r="L135" s="40">
        <v>133</v>
      </c>
      <c r="M135" s="63" t="s">
        <v>2685</v>
      </c>
      <c r="N135" s="64" t="s">
        <v>567</v>
      </c>
      <c r="O135" s="64">
        <v>11180</v>
      </c>
      <c r="Q135" s="40">
        <v>133</v>
      </c>
      <c r="R135" s="63" t="s">
        <v>56</v>
      </c>
      <c r="S135" s="64" t="s">
        <v>501</v>
      </c>
      <c r="T135" s="64">
        <v>10537</v>
      </c>
      <c r="V135" s="67">
        <v>133</v>
      </c>
      <c r="W135" s="63" t="s">
        <v>56</v>
      </c>
      <c r="X135" s="64" t="s">
        <v>1838</v>
      </c>
      <c r="Y135" s="64">
        <v>3258</v>
      </c>
    </row>
    <row r="136" spans="7:25" ht="26" x14ac:dyDescent="0.35">
      <c r="G136" s="67">
        <v>134</v>
      </c>
      <c r="H136" s="63" t="s">
        <v>2684</v>
      </c>
      <c r="I136" s="64" t="s">
        <v>115</v>
      </c>
      <c r="J136" s="64">
        <v>10928</v>
      </c>
      <c r="L136" s="40">
        <v>134</v>
      </c>
      <c r="M136" s="63" t="s">
        <v>2685</v>
      </c>
      <c r="N136" s="64" t="s">
        <v>2859</v>
      </c>
      <c r="O136" s="64">
        <v>11978</v>
      </c>
      <c r="Q136" s="40">
        <v>134</v>
      </c>
      <c r="R136" s="63" t="s">
        <v>56</v>
      </c>
      <c r="S136" s="64" t="s">
        <v>503</v>
      </c>
      <c r="T136" s="64">
        <v>2268</v>
      </c>
      <c r="V136" s="67">
        <v>134</v>
      </c>
      <c r="W136" s="63" t="s">
        <v>56</v>
      </c>
      <c r="X136" s="64" t="s">
        <v>1839</v>
      </c>
      <c r="Y136" s="64">
        <v>3259</v>
      </c>
    </row>
    <row r="137" spans="7:25" ht="26" x14ac:dyDescent="0.35">
      <c r="G137" s="67">
        <v>135</v>
      </c>
      <c r="H137" s="63" t="s">
        <v>2684</v>
      </c>
      <c r="I137" s="64" t="s">
        <v>119</v>
      </c>
      <c r="J137" s="64">
        <v>10929</v>
      </c>
      <c r="L137" s="40">
        <v>135</v>
      </c>
      <c r="M137" s="63" t="s">
        <v>2685</v>
      </c>
      <c r="N137" s="64" t="s">
        <v>1702</v>
      </c>
      <c r="O137" s="64">
        <v>11713</v>
      </c>
      <c r="Q137" s="40">
        <v>135</v>
      </c>
      <c r="R137" s="63" t="s">
        <v>56</v>
      </c>
      <c r="S137" s="64" t="s">
        <v>505</v>
      </c>
      <c r="T137" s="64">
        <v>2269</v>
      </c>
      <c r="V137" s="67">
        <v>135</v>
      </c>
      <c r="W137" s="63" t="s">
        <v>56</v>
      </c>
      <c r="X137" s="64" t="s">
        <v>1840</v>
      </c>
      <c r="Y137" s="64">
        <v>8208</v>
      </c>
    </row>
    <row r="138" spans="7:25" ht="26" x14ac:dyDescent="0.35">
      <c r="G138" s="67">
        <v>136</v>
      </c>
      <c r="H138" s="63" t="s">
        <v>2684</v>
      </c>
      <c r="I138" s="64" t="s">
        <v>1489</v>
      </c>
      <c r="J138" s="64">
        <v>10932</v>
      </c>
      <c r="L138" s="40">
        <v>136</v>
      </c>
      <c r="M138" s="63" t="s">
        <v>2685</v>
      </c>
      <c r="N138" s="64" t="s">
        <v>1416</v>
      </c>
      <c r="O138" s="64">
        <v>11475</v>
      </c>
      <c r="Q138" s="40">
        <v>136</v>
      </c>
      <c r="R138" s="63" t="s">
        <v>56</v>
      </c>
      <c r="S138" s="64" t="s">
        <v>507</v>
      </c>
      <c r="T138" s="64">
        <v>10554</v>
      </c>
      <c r="V138" s="67">
        <v>136</v>
      </c>
      <c r="W138" s="63" t="s">
        <v>56</v>
      </c>
      <c r="X138" s="64" t="s">
        <v>1841</v>
      </c>
      <c r="Y138" s="64">
        <v>2726</v>
      </c>
    </row>
    <row r="139" spans="7:25" ht="26" x14ac:dyDescent="0.35">
      <c r="G139" s="67">
        <v>137</v>
      </c>
      <c r="H139" s="63" t="s">
        <v>2684</v>
      </c>
      <c r="I139" s="64" t="s">
        <v>146</v>
      </c>
      <c r="J139" s="64">
        <v>10936</v>
      </c>
      <c r="L139" s="40">
        <v>137</v>
      </c>
      <c r="M139" s="63" t="s">
        <v>2685</v>
      </c>
      <c r="N139" s="64" t="s">
        <v>1699</v>
      </c>
      <c r="O139" s="64">
        <v>11708</v>
      </c>
      <c r="Q139" s="40">
        <v>137</v>
      </c>
      <c r="R139" s="63" t="s">
        <v>56</v>
      </c>
      <c r="S139" s="64" t="s">
        <v>509</v>
      </c>
      <c r="T139" s="64">
        <v>10136</v>
      </c>
      <c r="V139" s="67">
        <v>137</v>
      </c>
      <c r="W139" s="63" t="s">
        <v>56</v>
      </c>
      <c r="X139" s="64" t="s">
        <v>1843</v>
      </c>
      <c r="Y139" s="64">
        <v>10401</v>
      </c>
    </row>
    <row r="140" spans="7:25" ht="26" x14ac:dyDescent="0.35">
      <c r="G140" s="67">
        <v>138</v>
      </c>
      <c r="H140" s="63" t="s">
        <v>2684</v>
      </c>
      <c r="I140" s="64" t="s">
        <v>150</v>
      </c>
      <c r="J140" s="64">
        <v>10937</v>
      </c>
      <c r="L140" s="40">
        <v>138</v>
      </c>
      <c r="M140" s="63" t="s">
        <v>2685</v>
      </c>
      <c r="N140" s="64" t="s">
        <v>2710</v>
      </c>
      <c r="O140" s="64">
        <v>11850</v>
      </c>
      <c r="Q140" s="40">
        <v>138</v>
      </c>
      <c r="R140" s="63" t="s">
        <v>56</v>
      </c>
      <c r="S140" s="64" t="s">
        <v>510</v>
      </c>
      <c r="T140" s="64">
        <v>2282</v>
      </c>
      <c r="V140" s="67">
        <v>138</v>
      </c>
      <c r="W140" s="63" t="s">
        <v>56</v>
      </c>
      <c r="X140" s="64" t="s">
        <v>1844</v>
      </c>
      <c r="Y140" s="64">
        <v>2727</v>
      </c>
    </row>
    <row r="141" spans="7:25" ht="26" x14ac:dyDescent="0.35">
      <c r="G141" s="67">
        <v>139</v>
      </c>
      <c r="H141" s="63" t="s">
        <v>2684</v>
      </c>
      <c r="I141" s="64" t="s">
        <v>154</v>
      </c>
      <c r="J141" s="64">
        <v>10938</v>
      </c>
      <c r="L141" s="40">
        <v>139</v>
      </c>
      <c r="M141" s="63" t="s">
        <v>2685</v>
      </c>
      <c r="N141" s="64" t="s">
        <v>2707</v>
      </c>
      <c r="O141" s="64">
        <v>11847</v>
      </c>
      <c r="Q141" s="40">
        <v>139</v>
      </c>
      <c r="R141" s="63" t="s">
        <v>56</v>
      </c>
      <c r="S141" s="64" t="s">
        <v>512</v>
      </c>
      <c r="T141" s="64">
        <v>11165</v>
      </c>
      <c r="V141" s="67">
        <v>139</v>
      </c>
      <c r="W141" s="63" t="s">
        <v>56</v>
      </c>
      <c r="X141" s="64" t="s">
        <v>1845</v>
      </c>
      <c r="Y141" s="64">
        <v>3261</v>
      </c>
    </row>
    <row r="142" spans="7:25" ht="26" x14ac:dyDescent="0.35">
      <c r="G142" s="67">
        <v>140</v>
      </c>
      <c r="H142" s="63" t="s">
        <v>2684</v>
      </c>
      <c r="I142" s="64" t="s">
        <v>172</v>
      </c>
      <c r="J142" s="64">
        <v>10943</v>
      </c>
      <c r="L142" s="40">
        <v>140</v>
      </c>
      <c r="M142" s="63" t="s">
        <v>2685</v>
      </c>
      <c r="N142" s="64" t="s">
        <v>2709</v>
      </c>
      <c r="O142" s="64">
        <v>11849</v>
      </c>
      <c r="Q142" s="40">
        <v>140</v>
      </c>
      <c r="R142" s="63" t="s">
        <v>56</v>
      </c>
      <c r="S142" s="64" t="s">
        <v>514</v>
      </c>
      <c r="T142" s="64">
        <v>2284</v>
      </c>
      <c r="V142" s="67">
        <v>140</v>
      </c>
      <c r="W142" s="63" t="s">
        <v>56</v>
      </c>
      <c r="X142" s="64" t="s">
        <v>1847</v>
      </c>
      <c r="Y142" s="64">
        <v>8289</v>
      </c>
    </row>
    <row r="143" spans="7:25" ht="26" x14ac:dyDescent="0.35">
      <c r="G143" s="67">
        <v>141</v>
      </c>
      <c r="H143" s="63" t="s">
        <v>2684</v>
      </c>
      <c r="I143" s="64" t="s">
        <v>181</v>
      </c>
      <c r="J143" s="64">
        <v>10946</v>
      </c>
      <c r="L143" s="40">
        <v>141</v>
      </c>
      <c r="M143" s="63" t="s">
        <v>2685</v>
      </c>
      <c r="N143" s="64" t="s">
        <v>578</v>
      </c>
      <c r="O143" s="64">
        <v>10814</v>
      </c>
      <c r="Q143" s="40">
        <v>141</v>
      </c>
      <c r="R143" s="63" t="s">
        <v>56</v>
      </c>
      <c r="S143" s="64" t="s">
        <v>516</v>
      </c>
      <c r="T143" s="64">
        <v>2285</v>
      </c>
      <c r="V143" s="67">
        <v>141</v>
      </c>
      <c r="W143" s="63" t="s">
        <v>56</v>
      </c>
      <c r="X143" s="64" t="s">
        <v>1848</v>
      </c>
      <c r="Y143" s="64">
        <v>3263</v>
      </c>
    </row>
    <row r="144" spans="7:25" ht="26" x14ac:dyDescent="0.35">
      <c r="G144" s="67">
        <v>142</v>
      </c>
      <c r="H144" s="63" t="s">
        <v>2684</v>
      </c>
      <c r="I144" s="64" t="s">
        <v>185</v>
      </c>
      <c r="J144" s="64">
        <v>10947</v>
      </c>
      <c r="L144" s="40">
        <v>142</v>
      </c>
      <c r="M144" s="63" t="s">
        <v>2685</v>
      </c>
      <c r="N144" s="64" t="s">
        <v>2711</v>
      </c>
      <c r="O144" s="64">
        <v>11851</v>
      </c>
      <c r="Q144" s="40">
        <v>142</v>
      </c>
      <c r="R144" s="63" t="s">
        <v>56</v>
      </c>
      <c r="S144" s="64" t="s">
        <v>518</v>
      </c>
      <c r="T144" s="64">
        <v>10536</v>
      </c>
      <c r="V144" s="67">
        <v>142</v>
      </c>
      <c r="W144" s="63" t="s">
        <v>56</v>
      </c>
      <c r="X144" s="64" t="s">
        <v>1849</v>
      </c>
      <c r="Y144" s="64">
        <v>3264</v>
      </c>
    </row>
    <row r="145" spans="7:25" ht="26" x14ac:dyDescent="0.35">
      <c r="G145" s="67">
        <v>143</v>
      </c>
      <c r="H145" s="63" t="s">
        <v>2684</v>
      </c>
      <c r="I145" s="64" t="s">
        <v>191</v>
      </c>
      <c r="J145" s="64">
        <v>10949</v>
      </c>
      <c r="L145" s="40">
        <v>143</v>
      </c>
      <c r="M145" s="63" t="s">
        <v>2685</v>
      </c>
      <c r="N145" s="64" t="s">
        <v>2712</v>
      </c>
      <c r="O145" s="64">
        <v>11852</v>
      </c>
      <c r="Q145" s="40">
        <v>143</v>
      </c>
      <c r="R145" s="63" t="s">
        <v>56</v>
      </c>
      <c r="S145" s="64" t="s">
        <v>520</v>
      </c>
      <c r="T145" s="64">
        <v>8014</v>
      </c>
      <c r="V145" s="67">
        <v>143</v>
      </c>
      <c r="W145" s="63" t="s">
        <v>56</v>
      </c>
      <c r="X145" s="64" t="s">
        <v>1842</v>
      </c>
      <c r="Y145" s="64">
        <v>2730</v>
      </c>
    </row>
    <row r="146" spans="7:25" ht="26" x14ac:dyDescent="0.35">
      <c r="G146" s="67">
        <v>144</v>
      </c>
      <c r="H146" s="63" t="s">
        <v>2684</v>
      </c>
      <c r="I146" s="64" t="s">
        <v>194</v>
      </c>
      <c r="J146" s="64">
        <v>10950</v>
      </c>
      <c r="L146" s="40">
        <v>144</v>
      </c>
      <c r="M146" s="63" t="s">
        <v>2685</v>
      </c>
      <c r="N146" s="64" t="s">
        <v>1579</v>
      </c>
      <c r="O146" s="64">
        <v>11690</v>
      </c>
      <c r="Q146" s="40">
        <v>144</v>
      </c>
      <c r="R146" s="63" t="s">
        <v>56</v>
      </c>
      <c r="S146" s="64" t="s">
        <v>522</v>
      </c>
      <c r="T146" s="64">
        <v>8009</v>
      </c>
      <c r="V146" s="67">
        <v>144</v>
      </c>
      <c r="W146" s="63" t="s">
        <v>56</v>
      </c>
      <c r="X146" s="64" t="s">
        <v>1850</v>
      </c>
      <c r="Y146" s="64">
        <v>3265</v>
      </c>
    </row>
    <row r="147" spans="7:25" ht="26" x14ac:dyDescent="0.35">
      <c r="G147" s="67">
        <v>145</v>
      </c>
      <c r="H147" s="63" t="s">
        <v>2684</v>
      </c>
      <c r="I147" s="64" t="s">
        <v>197</v>
      </c>
      <c r="J147" s="64">
        <v>10951</v>
      </c>
      <c r="L147" s="40">
        <v>145</v>
      </c>
      <c r="M147" s="63" t="s">
        <v>2685</v>
      </c>
      <c r="N147" s="64" t="s">
        <v>270</v>
      </c>
      <c r="O147" s="64">
        <v>11554</v>
      </c>
      <c r="Q147" s="40">
        <v>145</v>
      </c>
      <c r="R147" s="63" t="s">
        <v>56</v>
      </c>
      <c r="S147" s="64" t="s">
        <v>524</v>
      </c>
      <c r="T147" s="64">
        <v>2801</v>
      </c>
      <c r="V147" s="67">
        <v>145</v>
      </c>
      <c r="W147" s="63" t="s">
        <v>56</v>
      </c>
      <c r="X147" s="64" t="s">
        <v>1851</v>
      </c>
      <c r="Y147" s="64">
        <v>2731</v>
      </c>
    </row>
    <row r="148" spans="7:25" ht="26" x14ac:dyDescent="0.35">
      <c r="G148" s="67">
        <v>146</v>
      </c>
      <c r="H148" s="63" t="s">
        <v>2684</v>
      </c>
      <c r="I148" s="64" t="s">
        <v>200</v>
      </c>
      <c r="J148" s="64">
        <v>10952</v>
      </c>
      <c r="L148" s="40">
        <v>146</v>
      </c>
      <c r="M148" s="63" t="s">
        <v>2685</v>
      </c>
      <c r="N148" s="64" t="s">
        <v>1520</v>
      </c>
      <c r="O148" s="64">
        <v>11555</v>
      </c>
      <c r="Q148" s="40">
        <v>146</v>
      </c>
      <c r="R148" s="63" t="s">
        <v>56</v>
      </c>
      <c r="S148" s="64" t="s">
        <v>526</v>
      </c>
      <c r="T148" s="64">
        <v>10094</v>
      </c>
      <c r="V148" s="67">
        <v>146</v>
      </c>
      <c r="W148" s="63" t="s">
        <v>56</v>
      </c>
      <c r="X148" s="64" t="s">
        <v>1896</v>
      </c>
      <c r="Y148" s="64">
        <v>2746</v>
      </c>
    </row>
    <row r="149" spans="7:25" ht="26" x14ac:dyDescent="0.35">
      <c r="G149" s="67">
        <v>147</v>
      </c>
      <c r="H149" s="63" t="s">
        <v>2684</v>
      </c>
      <c r="I149" s="64" t="s">
        <v>205</v>
      </c>
      <c r="J149" s="64">
        <v>10954</v>
      </c>
      <c r="L149" s="40">
        <v>147</v>
      </c>
      <c r="M149" s="63" t="s">
        <v>2685</v>
      </c>
      <c r="N149" s="64" t="s">
        <v>83</v>
      </c>
      <c r="O149" s="64">
        <v>11316</v>
      </c>
      <c r="Q149" s="40">
        <v>147</v>
      </c>
      <c r="R149" s="63" t="s">
        <v>56</v>
      </c>
      <c r="S149" s="64" t="s">
        <v>528</v>
      </c>
      <c r="T149" s="64">
        <v>2286</v>
      </c>
      <c r="V149" s="67">
        <v>147</v>
      </c>
      <c r="W149" s="63" t="s">
        <v>56</v>
      </c>
      <c r="X149" s="64" t="s">
        <v>1901</v>
      </c>
      <c r="Y149" s="64">
        <v>10337</v>
      </c>
    </row>
    <row r="150" spans="7:25" ht="26" x14ac:dyDescent="0.35">
      <c r="G150" s="67">
        <v>148</v>
      </c>
      <c r="H150" s="63" t="s">
        <v>2684</v>
      </c>
      <c r="I150" s="64" t="s">
        <v>208</v>
      </c>
      <c r="J150" s="64">
        <v>10955</v>
      </c>
      <c r="L150" s="40">
        <v>148</v>
      </c>
      <c r="M150" s="63" t="s">
        <v>2685</v>
      </c>
      <c r="N150" s="64" t="s">
        <v>598</v>
      </c>
      <c r="O150" s="64">
        <v>11230</v>
      </c>
      <c r="Q150" s="40">
        <v>148</v>
      </c>
      <c r="R150" s="63" t="s">
        <v>56</v>
      </c>
      <c r="S150" s="64" t="s">
        <v>530</v>
      </c>
      <c r="T150" s="64">
        <v>2288</v>
      </c>
      <c r="V150" s="67">
        <v>148</v>
      </c>
      <c r="W150" s="63" t="s">
        <v>56</v>
      </c>
      <c r="X150" s="64" t="s">
        <v>1900</v>
      </c>
      <c r="Y150" s="64">
        <v>10252</v>
      </c>
    </row>
    <row r="151" spans="7:25" ht="26" x14ac:dyDescent="0.35">
      <c r="G151" s="67">
        <v>149</v>
      </c>
      <c r="H151" s="63" t="s">
        <v>2684</v>
      </c>
      <c r="I151" s="64" t="s">
        <v>220</v>
      </c>
      <c r="J151" s="64">
        <v>10959</v>
      </c>
      <c r="L151" s="40">
        <v>149</v>
      </c>
      <c r="M151" s="63" t="s">
        <v>2685</v>
      </c>
      <c r="N151" s="64" t="s">
        <v>329</v>
      </c>
      <c r="O151" s="64">
        <v>11556</v>
      </c>
      <c r="Q151" s="40">
        <v>149</v>
      </c>
      <c r="R151" s="63" t="s">
        <v>56</v>
      </c>
      <c r="S151" s="64" t="s">
        <v>532</v>
      </c>
      <c r="T151" s="64">
        <v>2289</v>
      </c>
      <c r="V151" s="67">
        <v>149</v>
      </c>
      <c r="W151" s="63" t="s">
        <v>56</v>
      </c>
      <c r="X151" s="64" t="s">
        <v>558</v>
      </c>
      <c r="Y151" s="64">
        <v>2163</v>
      </c>
    </row>
    <row r="152" spans="7:25" ht="26" x14ac:dyDescent="0.35">
      <c r="G152" s="67">
        <v>150</v>
      </c>
      <c r="H152" s="63" t="s">
        <v>2684</v>
      </c>
      <c r="I152" s="64" t="s">
        <v>223</v>
      </c>
      <c r="J152" s="64">
        <v>10960</v>
      </c>
      <c r="L152" s="40">
        <v>150</v>
      </c>
      <c r="M152" s="63" t="s">
        <v>2685</v>
      </c>
      <c r="N152" s="64" t="s">
        <v>607</v>
      </c>
      <c r="O152" s="64">
        <v>10822</v>
      </c>
      <c r="Q152" s="40">
        <v>150</v>
      </c>
      <c r="R152" s="63" t="s">
        <v>56</v>
      </c>
      <c r="S152" s="64" t="s">
        <v>537</v>
      </c>
      <c r="T152" s="64">
        <v>8122</v>
      </c>
      <c r="V152" s="67">
        <v>150</v>
      </c>
      <c r="W152" s="63" t="s">
        <v>56</v>
      </c>
      <c r="X152" s="64" t="s">
        <v>564</v>
      </c>
      <c r="Y152" s="64">
        <v>2166</v>
      </c>
    </row>
    <row r="153" spans="7:25" ht="26" x14ac:dyDescent="0.35">
      <c r="G153" s="67">
        <v>151</v>
      </c>
      <c r="H153" s="63" t="s">
        <v>2684</v>
      </c>
      <c r="I153" s="64" t="s">
        <v>228</v>
      </c>
      <c r="J153" s="64">
        <v>10962</v>
      </c>
      <c r="L153" s="40">
        <v>151</v>
      </c>
      <c r="M153" s="63" t="s">
        <v>2685</v>
      </c>
      <c r="N153" s="64" t="s">
        <v>1553</v>
      </c>
      <c r="O153" s="64">
        <v>11593</v>
      </c>
      <c r="Q153" s="40">
        <v>151</v>
      </c>
      <c r="R153" s="63" t="s">
        <v>56</v>
      </c>
      <c r="S153" s="64" t="s">
        <v>539</v>
      </c>
      <c r="T153" s="64">
        <v>2188</v>
      </c>
      <c r="V153" s="67">
        <v>151</v>
      </c>
      <c r="W153" s="63" t="s">
        <v>56</v>
      </c>
      <c r="X153" s="64" t="s">
        <v>569</v>
      </c>
      <c r="Y153" s="64">
        <v>2168</v>
      </c>
    </row>
    <row r="154" spans="7:25" ht="26" x14ac:dyDescent="0.35">
      <c r="G154" s="67">
        <v>152</v>
      </c>
      <c r="H154" s="63" t="s">
        <v>2684</v>
      </c>
      <c r="I154" s="64" t="s">
        <v>231</v>
      </c>
      <c r="J154" s="64">
        <v>10963</v>
      </c>
      <c r="L154" s="40">
        <v>152</v>
      </c>
      <c r="M154" s="63" t="s">
        <v>2685</v>
      </c>
      <c r="N154" s="64" t="s">
        <v>354</v>
      </c>
      <c r="O154" s="64">
        <v>11379</v>
      </c>
      <c r="Q154" s="40">
        <v>152</v>
      </c>
      <c r="R154" s="63" t="s">
        <v>56</v>
      </c>
      <c r="S154" s="64" t="s">
        <v>541</v>
      </c>
      <c r="T154" s="64">
        <v>11166</v>
      </c>
      <c r="V154" s="67">
        <v>152</v>
      </c>
      <c r="W154" s="63" t="s">
        <v>56</v>
      </c>
      <c r="X154" s="64" t="s">
        <v>1904</v>
      </c>
      <c r="Y154" s="64">
        <v>8264</v>
      </c>
    </row>
    <row r="155" spans="7:25" ht="26" x14ac:dyDescent="0.35">
      <c r="G155" s="67">
        <v>153</v>
      </c>
      <c r="H155" s="63" t="s">
        <v>2684</v>
      </c>
      <c r="I155" s="64" t="s">
        <v>233</v>
      </c>
      <c r="J155" s="64">
        <v>10964</v>
      </c>
      <c r="L155" s="40">
        <v>153</v>
      </c>
      <c r="M155" s="63" t="s">
        <v>2685</v>
      </c>
      <c r="N155" s="64" t="s">
        <v>1333</v>
      </c>
      <c r="O155" s="64">
        <v>11377</v>
      </c>
      <c r="Q155" s="40">
        <v>153</v>
      </c>
      <c r="R155" s="63" t="s">
        <v>56</v>
      </c>
      <c r="S155" s="64" t="s">
        <v>543</v>
      </c>
      <c r="T155" s="64">
        <v>2307</v>
      </c>
      <c r="V155" s="67">
        <v>153</v>
      </c>
      <c r="W155" s="63" t="s">
        <v>56</v>
      </c>
      <c r="X155" s="64" t="s">
        <v>1905</v>
      </c>
      <c r="Y155" s="64">
        <v>3275</v>
      </c>
    </row>
    <row r="156" spans="7:25" ht="26" x14ac:dyDescent="0.35">
      <c r="G156" s="67">
        <v>154</v>
      </c>
      <c r="H156" s="63" t="s">
        <v>2684</v>
      </c>
      <c r="I156" s="64" t="s">
        <v>238</v>
      </c>
      <c r="J156" s="64">
        <v>10966</v>
      </c>
      <c r="L156" s="40">
        <v>154</v>
      </c>
      <c r="M156" s="63" t="s">
        <v>2685</v>
      </c>
      <c r="N156" s="64" t="s">
        <v>1334</v>
      </c>
      <c r="O156" s="64">
        <v>11378</v>
      </c>
      <c r="Q156" s="40">
        <v>154</v>
      </c>
      <c r="R156" s="63" t="s">
        <v>56</v>
      </c>
      <c r="S156" s="64" t="s">
        <v>545</v>
      </c>
      <c r="T156" s="64">
        <v>2601</v>
      </c>
      <c r="V156" s="67">
        <v>154</v>
      </c>
      <c r="W156" s="63" t="s">
        <v>56</v>
      </c>
      <c r="X156" s="64" t="s">
        <v>1906</v>
      </c>
      <c r="Y156" s="64">
        <v>3276</v>
      </c>
    </row>
    <row r="157" spans="7:25" ht="26" x14ac:dyDescent="0.35">
      <c r="G157" s="67">
        <v>155</v>
      </c>
      <c r="H157" s="63" t="s">
        <v>2684</v>
      </c>
      <c r="I157" s="64" t="s">
        <v>241</v>
      </c>
      <c r="J157" s="64">
        <v>10967</v>
      </c>
      <c r="L157" s="40">
        <v>155</v>
      </c>
      <c r="M157" s="63" t="s">
        <v>2685</v>
      </c>
      <c r="N157" s="64" t="s">
        <v>2862</v>
      </c>
      <c r="O157" s="64">
        <v>11983</v>
      </c>
      <c r="Q157" s="40">
        <v>155</v>
      </c>
      <c r="R157" s="63" t="s">
        <v>56</v>
      </c>
      <c r="S157" s="64" t="s">
        <v>547</v>
      </c>
      <c r="T157" s="64">
        <v>2310</v>
      </c>
      <c r="V157" s="67">
        <v>155</v>
      </c>
      <c r="W157" s="63" t="s">
        <v>56</v>
      </c>
      <c r="X157" s="64" t="s">
        <v>1898</v>
      </c>
      <c r="Y157" s="64">
        <v>2734</v>
      </c>
    </row>
    <row r="158" spans="7:25" ht="26" x14ac:dyDescent="0.35">
      <c r="G158" s="67">
        <v>156</v>
      </c>
      <c r="H158" s="63" t="s">
        <v>2684</v>
      </c>
      <c r="I158" s="64" t="s">
        <v>250</v>
      </c>
      <c r="J158" s="64">
        <v>10970</v>
      </c>
      <c r="L158" s="40">
        <v>156</v>
      </c>
      <c r="M158" s="63" t="s">
        <v>2685</v>
      </c>
      <c r="N158" s="64" t="s">
        <v>2861</v>
      </c>
      <c r="O158" s="64">
        <v>11982</v>
      </c>
      <c r="Q158" s="40">
        <v>156</v>
      </c>
      <c r="R158" s="63" t="s">
        <v>56</v>
      </c>
      <c r="S158" s="64" t="s">
        <v>549</v>
      </c>
      <c r="T158" s="64">
        <v>3392</v>
      </c>
      <c r="V158" s="67">
        <v>156</v>
      </c>
      <c r="W158" s="63" t="s">
        <v>56</v>
      </c>
      <c r="X158" s="64" t="s">
        <v>1907</v>
      </c>
      <c r="Y158" s="64">
        <v>2735</v>
      </c>
    </row>
    <row r="159" spans="7:25" ht="26" x14ac:dyDescent="0.35">
      <c r="G159" s="67">
        <v>157</v>
      </c>
      <c r="H159" s="63" t="s">
        <v>2684</v>
      </c>
      <c r="I159" s="64" t="s">
        <v>253</v>
      </c>
      <c r="J159" s="64">
        <v>10971</v>
      </c>
      <c r="L159" s="40">
        <v>157</v>
      </c>
      <c r="M159" s="63" t="s">
        <v>2685</v>
      </c>
      <c r="N159" s="64" t="s">
        <v>643</v>
      </c>
      <c r="O159" s="64">
        <v>11557</v>
      </c>
      <c r="Q159" s="40">
        <v>157</v>
      </c>
      <c r="R159" s="63" t="s">
        <v>56</v>
      </c>
      <c r="S159" s="64" t="s">
        <v>551</v>
      </c>
      <c r="T159" s="64">
        <v>2313</v>
      </c>
      <c r="V159" s="67">
        <v>157</v>
      </c>
      <c r="W159" s="63" t="s">
        <v>56</v>
      </c>
      <c r="X159" s="64" t="s">
        <v>1908</v>
      </c>
      <c r="Y159" s="64">
        <v>3277</v>
      </c>
    </row>
    <row r="160" spans="7:25" ht="26" x14ac:dyDescent="0.35">
      <c r="G160" s="67">
        <v>158</v>
      </c>
      <c r="H160" s="63" t="s">
        <v>2684</v>
      </c>
      <c r="I160" s="64" t="s">
        <v>1440</v>
      </c>
      <c r="J160" s="64">
        <v>10974</v>
      </c>
      <c r="L160" s="40">
        <v>158</v>
      </c>
      <c r="M160" s="63" t="s">
        <v>2685</v>
      </c>
      <c r="N160" s="64" t="s">
        <v>1696</v>
      </c>
      <c r="O160" s="64">
        <v>11705</v>
      </c>
      <c r="Q160" s="40">
        <v>158</v>
      </c>
      <c r="R160" s="63" t="s">
        <v>56</v>
      </c>
      <c r="S160" s="64" t="s">
        <v>553</v>
      </c>
      <c r="T160" s="64">
        <v>2314</v>
      </c>
      <c r="V160" s="67">
        <v>158</v>
      </c>
      <c r="W160" s="63" t="s">
        <v>56</v>
      </c>
      <c r="X160" s="64" t="s">
        <v>1909</v>
      </c>
      <c r="Y160" s="64">
        <v>10254</v>
      </c>
    </row>
    <row r="161" spans="7:25" ht="26" x14ac:dyDescent="0.35">
      <c r="G161" s="67">
        <v>159</v>
      </c>
      <c r="H161" s="63" t="s">
        <v>2684</v>
      </c>
      <c r="I161" s="64" t="s">
        <v>2755</v>
      </c>
      <c r="J161" s="64">
        <v>10977</v>
      </c>
      <c r="L161" s="40">
        <v>159</v>
      </c>
      <c r="M161" s="63" t="s">
        <v>2685</v>
      </c>
      <c r="N161" s="64" t="s">
        <v>1703</v>
      </c>
      <c r="O161" s="64">
        <v>11714</v>
      </c>
      <c r="Q161" s="40">
        <v>159</v>
      </c>
      <c r="R161" s="63" t="s">
        <v>56</v>
      </c>
      <c r="S161" s="64" t="s">
        <v>555</v>
      </c>
      <c r="T161" s="64">
        <v>2315</v>
      </c>
      <c r="V161" s="67">
        <v>159</v>
      </c>
      <c r="W161" s="63" t="s">
        <v>56</v>
      </c>
      <c r="X161" s="64" t="s">
        <v>1910</v>
      </c>
      <c r="Y161" s="64">
        <v>10255</v>
      </c>
    </row>
    <row r="162" spans="7:25" ht="26" x14ac:dyDescent="0.35">
      <c r="G162" s="67">
        <v>160</v>
      </c>
      <c r="H162" s="63" t="s">
        <v>2684</v>
      </c>
      <c r="I162" s="64" t="s">
        <v>273</v>
      </c>
      <c r="J162" s="64">
        <v>10978</v>
      </c>
      <c r="L162" s="40">
        <v>160</v>
      </c>
      <c r="M162" s="63" t="s">
        <v>2685</v>
      </c>
      <c r="N162" s="64" t="s">
        <v>1476</v>
      </c>
      <c r="O162" s="64">
        <v>11509</v>
      </c>
      <c r="Q162" s="40">
        <v>160</v>
      </c>
      <c r="R162" s="63" t="s">
        <v>56</v>
      </c>
      <c r="S162" s="64" t="s">
        <v>557</v>
      </c>
      <c r="T162" s="64">
        <v>2316</v>
      </c>
      <c r="V162" s="67">
        <v>160</v>
      </c>
      <c r="W162" s="63" t="s">
        <v>56</v>
      </c>
      <c r="X162" s="64" t="s">
        <v>1911</v>
      </c>
      <c r="Y162" s="64">
        <v>3278</v>
      </c>
    </row>
    <row r="163" spans="7:25" ht="26" x14ac:dyDescent="0.35">
      <c r="G163" s="67">
        <v>161</v>
      </c>
      <c r="H163" s="63" t="s">
        <v>2684</v>
      </c>
      <c r="I163" s="64" t="s">
        <v>276</v>
      </c>
      <c r="J163" s="64">
        <v>10979</v>
      </c>
      <c r="L163" s="40">
        <v>161</v>
      </c>
      <c r="M163" s="63" t="s">
        <v>2685</v>
      </c>
      <c r="N163" s="64" t="s">
        <v>618</v>
      </c>
      <c r="O163" s="64">
        <v>10826</v>
      </c>
      <c r="Q163" s="40">
        <v>161</v>
      </c>
      <c r="R163" s="63" t="s">
        <v>56</v>
      </c>
      <c r="S163" s="64" t="s">
        <v>562</v>
      </c>
      <c r="T163" s="64">
        <v>2321</v>
      </c>
      <c r="V163" s="67">
        <v>161</v>
      </c>
      <c r="W163" s="63" t="s">
        <v>56</v>
      </c>
      <c r="X163" s="64" t="s">
        <v>600</v>
      </c>
      <c r="Y163" s="64">
        <v>3279</v>
      </c>
    </row>
    <row r="164" spans="7:25" ht="26" x14ac:dyDescent="0.35">
      <c r="G164" s="67">
        <v>162</v>
      </c>
      <c r="H164" s="63" t="s">
        <v>2684</v>
      </c>
      <c r="I164" s="64" t="s">
        <v>279</v>
      </c>
      <c r="J164" s="64">
        <v>10980</v>
      </c>
      <c r="L164" s="40">
        <v>162</v>
      </c>
      <c r="M164" s="63" t="s">
        <v>2685</v>
      </c>
      <c r="N164" s="64" t="s">
        <v>1477</v>
      </c>
      <c r="O164" s="64">
        <v>11510</v>
      </c>
      <c r="Q164" s="40">
        <v>162</v>
      </c>
      <c r="R164" s="63" t="s">
        <v>56</v>
      </c>
      <c r="S164" s="64" t="s">
        <v>566</v>
      </c>
      <c r="T164" s="64">
        <v>2331</v>
      </c>
      <c r="V164" s="67">
        <v>162</v>
      </c>
      <c r="W164" s="63" t="s">
        <v>56</v>
      </c>
      <c r="X164" s="64" t="s">
        <v>1912</v>
      </c>
      <c r="Y164" s="64">
        <v>2740</v>
      </c>
    </row>
    <row r="165" spans="7:25" ht="26" x14ac:dyDescent="0.35">
      <c r="G165" s="67">
        <v>163</v>
      </c>
      <c r="H165" s="63" t="s">
        <v>2684</v>
      </c>
      <c r="I165" s="64" t="s">
        <v>286</v>
      </c>
      <c r="J165" s="64">
        <v>10982</v>
      </c>
      <c r="L165" s="40">
        <v>163</v>
      </c>
      <c r="M165" s="63" t="s">
        <v>2685</v>
      </c>
      <c r="N165" s="64" t="s">
        <v>401</v>
      </c>
      <c r="O165" s="64">
        <v>11536</v>
      </c>
      <c r="Q165" s="40">
        <v>163</v>
      </c>
      <c r="R165" s="63" t="s">
        <v>56</v>
      </c>
      <c r="S165" s="64" t="s">
        <v>568</v>
      </c>
      <c r="T165" s="64">
        <v>10564</v>
      </c>
      <c r="V165" s="67">
        <v>163</v>
      </c>
      <c r="W165" s="63" t="s">
        <v>56</v>
      </c>
      <c r="X165" s="64" t="s">
        <v>1913</v>
      </c>
      <c r="Y165" s="64">
        <v>3280</v>
      </c>
    </row>
    <row r="166" spans="7:25" ht="26" x14ac:dyDescent="0.35">
      <c r="G166" s="67">
        <v>164</v>
      </c>
      <c r="H166" s="63" t="s">
        <v>2684</v>
      </c>
      <c r="I166" s="64" t="s">
        <v>289</v>
      </c>
      <c r="J166" s="64">
        <v>10983</v>
      </c>
      <c r="L166" s="40">
        <v>164</v>
      </c>
      <c r="M166" s="63" t="s">
        <v>2685</v>
      </c>
      <c r="N166" s="64" t="s">
        <v>2714</v>
      </c>
      <c r="O166" s="64">
        <v>11854</v>
      </c>
      <c r="Q166" s="40">
        <v>164</v>
      </c>
      <c r="R166" s="63" t="s">
        <v>56</v>
      </c>
      <c r="S166" s="64" t="s">
        <v>571</v>
      </c>
      <c r="T166" s="64">
        <v>8100</v>
      </c>
      <c r="V166" s="67">
        <v>164</v>
      </c>
      <c r="W166" s="63" t="s">
        <v>56</v>
      </c>
      <c r="X166" s="64" t="s">
        <v>1914</v>
      </c>
      <c r="Y166" s="64">
        <v>8326</v>
      </c>
    </row>
    <row r="167" spans="7:25" ht="26" x14ac:dyDescent="0.35">
      <c r="G167" s="67">
        <v>165</v>
      </c>
      <c r="H167" s="63" t="s">
        <v>2684</v>
      </c>
      <c r="I167" s="64" t="s">
        <v>292</v>
      </c>
      <c r="J167" s="64">
        <v>10984</v>
      </c>
      <c r="L167" s="40">
        <v>165</v>
      </c>
      <c r="M167" s="63" t="s">
        <v>2685</v>
      </c>
      <c r="N167" s="64" t="s">
        <v>2722</v>
      </c>
      <c r="O167" s="64">
        <v>11830</v>
      </c>
      <c r="Q167" s="40">
        <v>165</v>
      </c>
      <c r="R167" s="63" t="s">
        <v>56</v>
      </c>
      <c r="S167" s="64" t="s">
        <v>573</v>
      </c>
      <c r="T167" s="64">
        <v>10091</v>
      </c>
      <c r="V167" s="67">
        <v>165</v>
      </c>
      <c r="W167" s="63" t="s">
        <v>56</v>
      </c>
      <c r="X167" s="64" t="s">
        <v>609</v>
      </c>
      <c r="Y167" s="64">
        <v>3281</v>
      </c>
    </row>
    <row r="168" spans="7:25" ht="26" x14ac:dyDescent="0.35">
      <c r="G168" s="67">
        <v>166</v>
      </c>
      <c r="H168" s="63" t="s">
        <v>2684</v>
      </c>
      <c r="I168" s="64" t="s">
        <v>301</v>
      </c>
      <c r="J168" s="64">
        <v>10987</v>
      </c>
      <c r="L168" s="40">
        <v>166</v>
      </c>
      <c r="M168" s="63" t="s">
        <v>2685</v>
      </c>
      <c r="N168" s="64" t="s">
        <v>1704</v>
      </c>
      <c r="O168" s="64">
        <v>11715</v>
      </c>
      <c r="Q168" s="40">
        <v>166</v>
      </c>
      <c r="R168" s="63" t="s">
        <v>56</v>
      </c>
      <c r="S168" s="64" t="s">
        <v>577</v>
      </c>
      <c r="T168" s="64">
        <v>2344</v>
      </c>
      <c r="V168" s="67">
        <v>166</v>
      </c>
      <c r="W168" s="63" t="s">
        <v>56</v>
      </c>
      <c r="X168" s="64" t="s">
        <v>1915</v>
      </c>
      <c r="Y168" s="64">
        <v>3282</v>
      </c>
    </row>
    <row r="169" spans="7:25" ht="26" x14ac:dyDescent="0.35">
      <c r="G169" s="67">
        <v>167</v>
      </c>
      <c r="H169" s="63" t="s">
        <v>2684</v>
      </c>
      <c r="I169" s="64" t="s">
        <v>1442</v>
      </c>
      <c r="J169" s="64">
        <v>10990</v>
      </c>
      <c r="L169" s="40">
        <v>167</v>
      </c>
      <c r="M169" s="63" t="s">
        <v>2685</v>
      </c>
      <c r="N169" s="64" t="s">
        <v>2669</v>
      </c>
      <c r="O169" s="64">
        <v>11833</v>
      </c>
      <c r="Q169" s="40">
        <v>167</v>
      </c>
      <c r="R169" s="63" t="s">
        <v>56</v>
      </c>
      <c r="S169" s="64" t="s">
        <v>579</v>
      </c>
      <c r="T169" s="64">
        <v>10582</v>
      </c>
      <c r="V169" s="67">
        <v>167</v>
      </c>
      <c r="W169" s="63" t="s">
        <v>56</v>
      </c>
      <c r="X169" s="64" t="s">
        <v>1916</v>
      </c>
      <c r="Y169" s="64">
        <v>3283</v>
      </c>
    </row>
    <row r="170" spans="7:25" ht="26" x14ac:dyDescent="0.35">
      <c r="G170" s="67">
        <v>168</v>
      </c>
      <c r="H170" s="63" t="s">
        <v>2684</v>
      </c>
      <c r="I170" s="64" t="s">
        <v>310</v>
      </c>
      <c r="J170" s="64">
        <v>10991</v>
      </c>
      <c r="L170" s="40">
        <v>168</v>
      </c>
      <c r="M170" s="63" t="s">
        <v>2685</v>
      </c>
      <c r="N170" s="64" t="s">
        <v>464</v>
      </c>
      <c r="O170" s="64">
        <v>11712</v>
      </c>
      <c r="Q170" s="40">
        <v>168</v>
      </c>
      <c r="R170" s="63" t="s">
        <v>56</v>
      </c>
      <c r="S170" s="64" t="s">
        <v>583</v>
      </c>
      <c r="T170" s="64">
        <v>2484</v>
      </c>
      <c r="V170" s="67">
        <v>168</v>
      </c>
      <c r="W170" s="63" t="s">
        <v>56</v>
      </c>
      <c r="X170" s="64" t="s">
        <v>1917</v>
      </c>
      <c r="Y170" s="64">
        <v>3284</v>
      </c>
    </row>
    <row r="171" spans="7:25" ht="26" x14ac:dyDescent="0.35">
      <c r="G171" s="67">
        <v>169</v>
      </c>
      <c r="H171" s="63" t="s">
        <v>2684</v>
      </c>
      <c r="I171" s="64" t="s">
        <v>313</v>
      </c>
      <c r="J171" s="64">
        <v>10992</v>
      </c>
      <c r="L171" s="40">
        <v>169</v>
      </c>
      <c r="M171" s="63" t="s">
        <v>2685</v>
      </c>
      <c r="N171" s="64" t="s">
        <v>649</v>
      </c>
      <c r="O171" s="64">
        <v>10840</v>
      </c>
      <c r="Q171" s="40">
        <v>169</v>
      </c>
      <c r="R171" s="63" t="s">
        <v>56</v>
      </c>
      <c r="S171" s="64" t="s">
        <v>585</v>
      </c>
      <c r="T171" s="64">
        <v>10084</v>
      </c>
      <c r="V171" s="67">
        <v>169</v>
      </c>
      <c r="W171" s="63" t="s">
        <v>56</v>
      </c>
      <c r="X171" s="64" t="s">
        <v>1918</v>
      </c>
      <c r="Y171" s="64">
        <v>8328</v>
      </c>
    </row>
    <row r="172" spans="7:25" ht="26" x14ac:dyDescent="0.35">
      <c r="G172" s="67">
        <v>170</v>
      </c>
      <c r="H172" s="63" t="s">
        <v>2684</v>
      </c>
      <c r="I172" s="64" t="s">
        <v>336</v>
      </c>
      <c r="J172" s="64">
        <v>11002</v>
      </c>
      <c r="L172" s="40">
        <v>170</v>
      </c>
      <c r="M172" s="63" t="s">
        <v>2685</v>
      </c>
      <c r="N172" s="64" t="s">
        <v>87</v>
      </c>
      <c r="O172" s="64">
        <v>11221</v>
      </c>
      <c r="Q172" s="40">
        <v>170</v>
      </c>
      <c r="R172" s="63" t="s">
        <v>56</v>
      </c>
      <c r="S172" s="64" t="s">
        <v>587</v>
      </c>
      <c r="T172" s="64">
        <v>2349</v>
      </c>
      <c r="V172" s="67">
        <v>170</v>
      </c>
      <c r="W172" s="63" t="s">
        <v>56</v>
      </c>
      <c r="X172" s="64" t="s">
        <v>1899</v>
      </c>
      <c r="Y172" s="64">
        <v>3271</v>
      </c>
    </row>
    <row r="173" spans="7:25" ht="26" x14ac:dyDescent="0.35">
      <c r="G173" s="67">
        <v>171</v>
      </c>
      <c r="H173" s="63" t="s">
        <v>2684</v>
      </c>
      <c r="I173" s="64" t="s">
        <v>343</v>
      </c>
      <c r="J173" s="64">
        <v>11004</v>
      </c>
      <c r="L173" s="40">
        <v>171</v>
      </c>
      <c r="M173" s="63" t="s">
        <v>2685</v>
      </c>
      <c r="N173" s="64" t="s">
        <v>655</v>
      </c>
      <c r="O173" s="64">
        <v>10842</v>
      </c>
      <c r="Q173" s="40">
        <v>171</v>
      </c>
      <c r="R173" s="63" t="s">
        <v>56</v>
      </c>
      <c r="S173" s="64" t="s">
        <v>589</v>
      </c>
      <c r="T173" s="64">
        <v>2348</v>
      </c>
      <c r="V173" s="67">
        <v>171</v>
      </c>
      <c r="W173" s="63" t="s">
        <v>56</v>
      </c>
      <c r="X173" s="64" t="s">
        <v>1919</v>
      </c>
      <c r="Y173" s="64">
        <v>10397</v>
      </c>
    </row>
    <row r="174" spans="7:25" ht="26" x14ac:dyDescent="0.35">
      <c r="G174" s="67">
        <v>172</v>
      </c>
      <c r="H174" s="63" t="s">
        <v>2684</v>
      </c>
      <c r="I174" s="64" t="s">
        <v>346</v>
      </c>
      <c r="J174" s="64">
        <v>11005</v>
      </c>
      <c r="L174" s="40">
        <v>172</v>
      </c>
      <c r="M174" s="63" t="s">
        <v>2685</v>
      </c>
      <c r="N174" s="64" t="s">
        <v>657</v>
      </c>
      <c r="O174" s="64">
        <v>11355</v>
      </c>
      <c r="Q174" s="40">
        <v>172</v>
      </c>
      <c r="R174" s="63" t="s">
        <v>56</v>
      </c>
      <c r="S174" s="64" t="s">
        <v>591</v>
      </c>
      <c r="T174" s="64">
        <v>2111</v>
      </c>
      <c r="V174" s="67">
        <v>172</v>
      </c>
      <c r="W174" s="63" t="s">
        <v>56</v>
      </c>
      <c r="X174" s="64" t="s">
        <v>1921</v>
      </c>
      <c r="Y174" s="64">
        <v>8285</v>
      </c>
    </row>
    <row r="175" spans="7:25" ht="26" x14ac:dyDescent="0.35">
      <c r="G175" s="67">
        <v>173</v>
      </c>
      <c r="H175" s="63" t="s">
        <v>2684</v>
      </c>
      <c r="I175" s="64" t="s">
        <v>352</v>
      </c>
      <c r="J175" s="64">
        <v>11007</v>
      </c>
      <c r="L175" s="40">
        <v>173</v>
      </c>
      <c r="M175" s="63" t="s">
        <v>2685</v>
      </c>
      <c r="N175" s="64" t="s">
        <v>660</v>
      </c>
      <c r="O175" s="64">
        <v>10843</v>
      </c>
      <c r="Q175" s="40">
        <v>173</v>
      </c>
      <c r="R175" s="63" t="s">
        <v>56</v>
      </c>
      <c r="S175" s="64" t="s">
        <v>593</v>
      </c>
      <c r="T175" s="64">
        <v>10032</v>
      </c>
      <c r="V175" s="67">
        <v>173</v>
      </c>
      <c r="W175" s="63" t="s">
        <v>56</v>
      </c>
      <c r="X175" s="64" t="s">
        <v>1922</v>
      </c>
      <c r="Y175" s="64">
        <v>3288</v>
      </c>
    </row>
    <row r="176" spans="7:25" ht="26" x14ac:dyDescent="0.35">
      <c r="G176" s="67">
        <v>174</v>
      </c>
      <c r="H176" s="63" t="s">
        <v>2684</v>
      </c>
      <c r="I176" s="64" t="s">
        <v>357</v>
      </c>
      <c r="J176" s="64">
        <v>11009</v>
      </c>
      <c r="L176" s="40">
        <v>174</v>
      </c>
      <c r="M176" s="63" t="s">
        <v>2685</v>
      </c>
      <c r="N176" s="64" t="s">
        <v>662</v>
      </c>
      <c r="O176" s="64">
        <v>10844</v>
      </c>
      <c r="Q176" s="40">
        <v>174</v>
      </c>
      <c r="R176" s="63" t="s">
        <v>56</v>
      </c>
      <c r="S176" s="64" t="s">
        <v>595</v>
      </c>
      <c r="T176" s="64">
        <v>2352</v>
      </c>
      <c r="V176" s="67">
        <v>174</v>
      </c>
      <c r="W176" s="63" t="s">
        <v>56</v>
      </c>
      <c r="X176" s="64" t="s">
        <v>1924</v>
      </c>
      <c r="Y176" s="64">
        <v>3289</v>
      </c>
    </row>
    <row r="177" spans="7:25" ht="26" x14ac:dyDescent="0.35">
      <c r="G177" s="67">
        <v>175</v>
      </c>
      <c r="H177" s="63" t="s">
        <v>2684</v>
      </c>
      <c r="I177" s="64" t="s">
        <v>360</v>
      </c>
      <c r="J177" s="64">
        <v>11010</v>
      </c>
      <c r="L177" s="40">
        <v>175</v>
      </c>
      <c r="M177" s="63" t="s">
        <v>2685</v>
      </c>
      <c r="N177" s="64" t="s">
        <v>671</v>
      </c>
      <c r="O177" s="64">
        <v>10846</v>
      </c>
      <c r="Q177" s="40">
        <v>175</v>
      </c>
      <c r="R177" s="63" t="s">
        <v>56</v>
      </c>
      <c r="S177" s="64" t="s">
        <v>597</v>
      </c>
      <c r="T177" s="64">
        <v>9988</v>
      </c>
      <c r="V177" s="67">
        <v>175</v>
      </c>
      <c r="W177" s="63" t="s">
        <v>56</v>
      </c>
      <c r="X177" s="64" t="s">
        <v>1923</v>
      </c>
      <c r="Y177" s="64">
        <v>2742</v>
      </c>
    </row>
    <row r="178" spans="7:25" ht="26" x14ac:dyDescent="0.35">
      <c r="G178" s="67">
        <v>176</v>
      </c>
      <c r="H178" s="63" t="s">
        <v>2684</v>
      </c>
      <c r="I178" s="64" t="s">
        <v>363</v>
      </c>
      <c r="J178" s="64">
        <v>11011</v>
      </c>
      <c r="L178" s="40">
        <v>176</v>
      </c>
      <c r="M178" s="63" t="s">
        <v>2685</v>
      </c>
      <c r="N178" s="64" t="s">
        <v>97</v>
      </c>
      <c r="O178" s="64">
        <v>11312</v>
      </c>
      <c r="Q178" s="40">
        <v>176</v>
      </c>
      <c r="R178" s="63" t="s">
        <v>56</v>
      </c>
      <c r="S178" s="64" t="s">
        <v>599</v>
      </c>
      <c r="T178" s="64">
        <v>2357</v>
      </c>
      <c r="V178" s="67">
        <v>176</v>
      </c>
      <c r="W178" s="63" t="s">
        <v>56</v>
      </c>
      <c r="X178" s="64" t="s">
        <v>1926</v>
      </c>
      <c r="Y178" s="64">
        <v>3291</v>
      </c>
    </row>
    <row r="179" spans="7:25" ht="26" x14ac:dyDescent="0.35">
      <c r="G179" s="67">
        <v>177</v>
      </c>
      <c r="H179" s="63" t="s">
        <v>2684</v>
      </c>
      <c r="I179" s="64" t="s">
        <v>368</v>
      </c>
      <c r="J179" s="64">
        <v>11013</v>
      </c>
      <c r="L179" s="40">
        <v>177</v>
      </c>
      <c r="M179" s="63" t="s">
        <v>2685</v>
      </c>
      <c r="N179" s="64" t="s">
        <v>1521</v>
      </c>
      <c r="O179" s="64">
        <v>11559</v>
      </c>
      <c r="Q179" s="40">
        <v>177</v>
      </c>
      <c r="R179" s="63" t="s">
        <v>56</v>
      </c>
      <c r="S179" s="64" t="s">
        <v>602</v>
      </c>
      <c r="T179" s="64">
        <v>2361</v>
      </c>
      <c r="V179" s="67">
        <v>177</v>
      </c>
      <c r="W179" s="63" t="s">
        <v>56</v>
      </c>
      <c r="X179" s="64" t="s">
        <v>1927</v>
      </c>
      <c r="Y179" s="64">
        <v>2743</v>
      </c>
    </row>
    <row r="180" spans="7:25" ht="26" x14ac:dyDescent="0.35">
      <c r="G180" s="67">
        <v>178</v>
      </c>
      <c r="H180" s="63" t="s">
        <v>2684</v>
      </c>
      <c r="I180" s="64" t="s">
        <v>371</v>
      </c>
      <c r="J180" s="64">
        <v>11014</v>
      </c>
      <c r="L180" s="40">
        <v>178</v>
      </c>
      <c r="M180" s="63" t="s">
        <v>2685</v>
      </c>
      <c r="N180" s="64" t="s">
        <v>1522</v>
      </c>
      <c r="O180" s="64">
        <v>11560</v>
      </c>
      <c r="Q180" s="40">
        <v>178</v>
      </c>
      <c r="R180" s="63" t="s">
        <v>56</v>
      </c>
      <c r="S180" s="64" t="s">
        <v>606</v>
      </c>
      <c r="T180" s="64">
        <v>2358</v>
      </c>
      <c r="V180" s="67">
        <v>178</v>
      </c>
      <c r="W180" s="63" t="s">
        <v>56</v>
      </c>
      <c r="X180" s="64" t="s">
        <v>1928</v>
      </c>
      <c r="Y180" s="64">
        <v>3292</v>
      </c>
    </row>
    <row r="181" spans="7:25" ht="26" x14ac:dyDescent="0.35">
      <c r="G181" s="67">
        <v>179</v>
      </c>
      <c r="H181" s="63" t="s">
        <v>2684</v>
      </c>
      <c r="I181" s="64" t="s">
        <v>376</v>
      </c>
      <c r="J181" s="64">
        <v>11016</v>
      </c>
      <c r="L181" s="40">
        <v>179</v>
      </c>
      <c r="M181" s="63" t="s">
        <v>2685</v>
      </c>
      <c r="N181" s="64" t="s">
        <v>1523</v>
      </c>
      <c r="O181" s="64">
        <v>11561</v>
      </c>
      <c r="Q181" s="40">
        <v>179</v>
      </c>
      <c r="R181" s="63" t="s">
        <v>56</v>
      </c>
      <c r="S181" s="64" t="s">
        <v>608</v>
      </c>
      <c r="T181" s="64">
        <v>2368</v>
      </c>
      <c r="V181" s="67">
        <v>179</v>
      </c>
      <c r="W181" s="63" t="s">
        <v>56</v>
      </c>
      <c r="X181" s="64" t="s">
        <v>1929</v>
      </c>
      <c r="Y181" s="64">
        <v>3293</v>
      </c>
    </row>
    <row r="182" spans="7:25" ht="26" x14ac:dyDescent="0.35">
      <c r="G182" s="67">
        <v>180</v>
      </c>
      <c r="H182" s="63" t="s">
        <v>2684</v>
      </c>
      <c r="I182" s="64" t="s">
        <v>380</v>
      </c>
      <c r="J182" s="64">
        <v>11017</v>
      </c>
      <c r="L182" s="40">
        <v>180</v>
      </c>
      <c r="M182" s="63" t="s">
        <v>2685</v>
      </c>
      <c r="N182" s="64" t="s">
        <v>1524</v>
      </c>
      <c r="O182" s="64">
        <v>11562</v>
      </c>
      <c r="Q182" s="40">
        <v>180</v>
      </c>
      <c r="R182" s="63" t="s">
        <v>56</v>
      </c>
      <c r="S182" s="64" t="s">
        <v>611</v>
      </c>
      <c r="T182" s="64">
        <v>2858</v>
      </c>
      <c r="V182" s="67">
        <v>180</v>
      </c>
      <c r="W182" s="63" t="s">
        <v>56</v>
      </c>
      <c r="X182" s="64" t="s">
        <v>1930</v>
      </c>
      <c r="Y182" s="64">
        <v>3294</v>
      </c>
    </row>
    <row r="183" spans="7:25" ht="26" x14ac:dyDescent="0.35">
      <c r="G183" s="67">
        <v>181</v>
      </c>
      <c r="H183" s="63" t="s">
        <v>2684</v>
      </c>
      <c r="I183" s="64" t="s">
        <v>1448</v>
      </c>
      <c r="J183" s="64">
        <v>11018</v>
      </c>
      <c r="L183" s="40">
        <v>181</v>
      </c>
      <c r="M183" s="63" t="s">
        <v>2685</v>
      </c>
      <c r="N183" s="64" t="s">
        <v>1525</v>
      </c>
      <c r="O183" s="64">
        <v>11563</v>
      </c>
      <c r="Q183" s="40">
        <v>181</v>
      </c>
      <c r="R183" s="63" t="s">
        <v>56</v>
      </c>
      <c r="S183" s="64" t="s">
        <v>613</v>
      </c>
      <c r="T183" s="64">
        <v>2370</v>
      </c>
      <c r="V183" s="67">
        <v>181</v>
      </c>
      <c r="W183" s="63" t="s">
        <v>56</v>
      </c>
      <c r="X183" s="64" t="s">
        <v>651</v>
      </c>
      <c r="Y183" s="64">
        <v>10257</v>
      </c>
    </row>
    <row r="184" spans="7:25" ht="26" x14ac:dyDescent="0.35">
      <c r="G184" s="67">
        <v>182</v>
      </c>
      <c r="H184" s="63" t="s">
        <v>2684</v>
      </c>
      <c r="I184" s="64" t="s">
        <v>387</v>
      </c>
      <c r="J184" s="64">
        <v>11020</v>
      </c>
      <c r="L184" s="40">
        <v>182</v>
      </c>
      <c r="M184" s="63" t="s">
        <v>2685</v>
      </c>
      <c r="N184" s="64" t="s">
        <v>2747</v>
      </c>
      <c r="O184" s="64">
        <v>11864</v>
      </c>
      <c r="Q184" s="40">
        <v>182</v>
      </c>
      <c r="R184" s="63" t="s">
        <v>56</v>
      </c>
      <c r="S184" s="64" t="s">
        <v>615</v>
      </c>
      <c r="T184" s="64">
        <v>2859</v>
      </c>
      <c r="V184" s="67">
        <v>182</v>
      </c>
      <c r="W184" s="63" t="s">
        <v>56</v>
      </c>
      <c r="X184" s="64" t="s">
        <v>1931</v>
      </c>
      <c r="Y184" s="64">
        <v>10258</v>
      </c>
    </row>
    <row r="185" spans="7:25" ht="26" x14ac:dyDescent="0.35">
      <c r="G185" s="67">
        <v>183</v>
      </c>
      <c r="H185" s="63" t="s">
        <v>2684</v>
      </c>
      <c r="I185" s="64" t="s">
        <v>390</v>
      </c>
      <c r="J185" s="64">
        <v>11021</v>
      </c>
      <c r="L185" s="40">
        <v>183</v>
      </c>
      <c r="M185" s="63" t="s">
        <v>2685</v>
      </c>
      <c r="N185" s="64" t="s">
        <v>1581</v>
      </c>
      <c r="O185" s="64">
        <v>11692</v>
      </c>
      <c r="Q185" s="40">
        <v>183</v>
      </c>
      <c r="R185" s="63" t="s">
        <v>56</v>
      </c>
      <c r="S185" s="64" t="s">
        <v>617</v>
      </c>
      <c r="T185" s="64">
        <v>2367</v>
      </c>
      <c r="V185" s="67">
        <v>183</v>
      </c>
      <c r="W185" s="63" t="s">
        <v>56</v>
      </c>
      <c r="X185" s="64" t="s">
        <v>1932</v>
      </c>
      <c r="Y185" s="64">
        <v>3296</v>
      </c>
    </row>
    <row r="186" spans="7:25" ht="26" x14ac:dyDescent="0.35">
      <c r="G186" s="67">
        <v>184</v>
      </c>
      <c r="H186" s="63" t="s">
        <v>2684</v>
      </c>
      <c r="I186" s="64" t="s">
        <v>397</v>
      </c>
      <c r="J186" s="64">
        <v>11024</v>
      </c>
      <c r="L186" s="40">
        <v>184</v>
      </c>
      <c r="M186" s="63" t="s">
        <v>2685</v>
      </c>
      <c r="N186" s="64" t="s">
        <v>2627</v>
      </c>
      <c r="O186" s="64">
        <v>11789</v>
      </c>
      <c r="Q186" s="40">
        <v>184</v>
      </c>
      <c r="R186" s="63" t="s">
        <v>56</v>
      </c>
      <c r="S186" s="64" t="s">
        <v>622</v>
      </c>
      <c r="T186" s="64">
        <v>2590</v>
      </c>
      <c r="V186" s="67">
        <v>184</v>
      </c>
      <c r="W186" s="63" t="s">
        <v>56</v>
      </c>
      <c r="X186" s="64" t="s">
        <v>1933</v>
      </c>
      <c r="Y186" s="64">
        <v>10191</v>
      </c>
    </row>
    <row r="187" spans="7:25" ht="26" x14ac:dyDescent="0.35">
      <c r="G187" s="67">
        <v>185</v>
      </c>
      <c r="H187" s="63" t="s">
        <v>2684</v>
      </c>
      <c r="I187" s="64" t="s">
        <v>405</v>
      </c>
      <c r="J187" s="64">
        <v>11027</v>
      </c>
      <c r="L187" s="40">
        <v>185</v>
      </c>
      <c r="M187" s="63" t="s">
        <v>2685</v>
      </c>
      <c r="N187" s="64" t="s">
        <v>694</v>
      </c>
      <c r="O187" s="64">
        <v>11353</v>
      </c>
      <c r="Q187" s="40">
        <v>185</v>
      </c>
      <c r="R187" s="63" t="s">
        <v>56</v>
      </c>
      <c r="S187" s="64" t="s">
        <v>624</v>
      </c>
      <c r="T187" s="64">
        <v>10155</v>
      </c>
      <c r="V187" s="67">
        <v>185</v>
      </c>
      <c r="W187" s="63" t="s">
        <v>56</v>
      </c>
      <c r="X187" s="64" t="s">
        <v>666</v>
      </c>
      <c r="Y187" s="64">
        <v>3297</v>
      </c>
    </row>
    <row r="188" spans="7:25" ht="26" x14ac:dyDescent="0.35">
      <c r="G188" s="67">
        <v>186</v>
      </c>
      <c r="H188" s="63" t="s">
        <v>2684</v>
      </c>
      <c r="I188" s="64" t="s">
        <v>408</v>
      </c>
      <c r="J188" s="64">
        <v>11028</v>
      </c>
      <c r="L188" s="40">
        <v>186</v>
      </c>
      <c r="M188" s="63" t="s">
        <v>2685</v>
      </c>
      <c r="N188" s="64" t="s">
        <v>696</v>
      </c>
      <c r="O188" s="64">
        <v>11354</v>
      </c>
      <c r="Q188" s="40">
        <v>186</v>
      </c>
      <c r="R188" s="63" t="s">
        <v>56</v>
      </c>
      <c r="S188" s="64" t="s">
        <v>626</v>
      </c>
      <c r="T188" s="64">
        <v>2136</v>
      </c>
      <c r="V188" s="67">
        <v>186</v>
      </c>
      <c r="W188" s="63" t="s">
        <v>56</v>
      </c>
      <c r="X188" s="64" t="s">
        <v>1934</v>
      </c>
      <c r="Y188" s="64">
        <v>3298</v>
      </c>
    </row>
    <row r="189" spans="7:25" ht="26" x14ac:dyDescent="0.35">
      <c r="G189" s="67">
        <v>187</v>
      </c>
      <c r="H189" s="63" t="s">
        <v>2684</v>
      </c>
      <c r="I189" s="64" t="s">
        <v>411</v>
      </c>
      <c r="J189" s="64">
        <v>11030</v>
      </c>
      <c r="L189" s="40">
        <v>187</v>
      </c>
      <c r="M189" s="63" t="s">
        <v>2685</v>
      </c>
      <c r="N189" s="64" t="s">
        <v>702</v>
      </c>
      <c r="O189" s="64">
        <v>10858</v>
      </c>
      <c r="Q189" s="40">
        <v>187</v>
      </c>
      <c r="R189" s="63" t="s">
        <v>56</v>
      </c>
      <c r="S189" s="64" t="s">
        <v>633</v>
      </c>
      <c r="T189" s="64">
        <v>2381</v>
      </c>
      <c r="V189" s="67">
        <v>187</v>
      </c>
      <c r="W189" s="63" t="s">
        <v>56</v>
      </c>
      <c r="X189" s="64" t="s">
        <v>1937</v>
      </c>
      <c r="Y189" s="64">
        <v>10165</v>
      </c>
    </row>
    <row r="190" spans="7:25" ht="26" x14ac:dyDescent="0.35">
      <c r="G190" s="67">
        <v>188</v>
      </c>
      <c r="H190" s="63" t="s">
        <v>2684</v>
      </c>
      <c r="I190" s="64" t="s">
        <v>416</v>
      </c>
      <c r="J190" s="64">
        <v>11032</v>
      </c>
      <c r="L190" s="40">
        <v>188</v>
      </c>
      <c r="M190" s="63" t="s">
        <v>2685</v>
      </c>
      <c r="N190" s="64" t="s">
        <v>708</v>
      </c>
      <c r="O190" s="64">
        <v>10860</v>
      </c>
      <c r="Q190" s="40">
        <v>188</v>
      </c>
      <c r="R190" s="63" t="s">
        <v>56</v>
      </c>
      <c r="S190" s="64" t="s">
        <v>636</v>
      </c>
      <c r="T190" s="64">
        <v>2384</v>
      </c>
      <c r="V190" s="67">
        <v>188</v>
      </c>
      <c r="W190" s="63" t="s">
        <v>56</v>
      </c>
      <c r="X190" s="64" t="s">
        <v>1942</v>
      </c>
      <c r="Y190" s="64">
        <v>3302</v>
      </c>
    </row>
    <row r="191" spans="7:25" ht="26" x14ac:dyDescent="0.35">
      <c r="G191" s="67">
        <v>189</v>
      </c>
      <c r="H191" s="63" t="s">
        <v>2684</v>
      </c>
      <c r="I191" s="64" t="s">
        <v>428</v>
      </c>
      <c r="J191" s="64">
        <v>11037</v>
      </c>
      <c r="L191" s="40">
        <v>189</v>
      </c>
      <c r="M191" s="63" t="s">
        <v>2685</v>
      </c>
      <c r="N191" s="64" t="s">
        <v>1465</v>
      </c>
      <c r="O191" s="64">
        <v>11485</v>
      </c>
      <c r="Q191" s="40">
        <v>189</v>
      </c>
      <c r="R191" s="63" t="s">
        <v>56</v>
      </c>
      <c r="S191" s="64" t="s">
        <v>638</v>
      </c>
      <c r="T191" s="64">
        <v>2385</v>
      </c>
      <c r="V191" s="67">
        <v>189</v>
      </c>
      <c r="W191" s="63" t="s">
        <v>56</v>
      </c>
      <c r="X191" s="64" t="s">
        <v>1713</v>
      </c>
      <c r="Y191" s="64">
        <v>3201</v>
      </c>
    </row>
    <row r="192" spans="7:25" ht="26" x14ac:dyDescent="0.35">
      <c r="G192" s="67">
        <v>190</v>
      </c>
      <c r="H192" s="63" t="s">
        <v>2684</v>
      </c>
      <c r="I192" s="64" t="s">
        <v>437</v>
      </c>
      <c r="J192" s="64">
        <v>11040</v>
      </c>
      <c r="L192" s="40">
        <v>190</v>
      </c>
      <c r="M192" s="63" t="s">
        <v>2685</v>
      </c>
      <c r="N192" s="64" t="s">
        <v>2667</v>
      </c>
      <c r="O192" s="64">
        <v>11831</v>
      </c>
      <c r="Q192" s="40">
        <v>190</v>
      </c>
      <c r="R192" s="63" t="s">
        <v>56</v>
      </c>
      <c r="S192" s="64" t="s">
        <v>640</v>
      </c>
      <c r="T192" s="64">
        <v>10145</v>
      </c>
      <c r="V192" s="67">
        <v>190</v>
      </c>
      <c r="W192" s="63" t="s">
        <v>56</v>
      </c>
      <c r="X192" s="64" t="s">
        <v>1938</v>
      </c>
      <c r="Y192" s="64">
        <v>10259</v>
      </c>
    </row>
    <row r="193" spans="7:25" ht="26" x14ac:dyDescent="0.35">
      <c r="G193" s="67">
        <v>191</v>
      </c>
      <c r="H193" s="63" t="s">
        <v>2684</v>
      </c>
      <c r="I193" s="64" t="s">
        <v>439</v>
      </c>
      <c r="J193" s="64">
        <v>11041</v>
      </c>
      <c r="L193" s="40">
        <v>191</v>
      </c>
      <c r="M193" s="63" t="s">
        <v>2685</v>
      </c>
      <c r="N193" s="64" t="s">
        <v>1526</v>
      </c>
      <c r="O193" s="64">
        <v>11564</v>
      </c>
      <c r="Q193" s="40">
        <v>191</v>
      </c>
      <c r="R193" s="63" t="s">
        <v>56</v>
      </c>
      <c r="S193" s="64" t="s">
        <v>642</v>
      </c>
      <c r="T193" s="64">
        <v>8018</v>
      </c>
      <c r="V193" s="67">
        <v>191</v>
      </c>
      <c r="W193" s="63" t="s">
        <v>56</v>
      </c>
      <c r="X193" s="64" t="s">
        <v>1939</v>
      </c>
      <c r="Y193" s="64">
        <v>2747</v>
      </c>
    </row>
    <row r="194" spans="7:25" ht="26" x14ac:dyDescent="0.35">
      <c r="G194" s="67">
        <v>192</v>
      </c>
      <c r="H194" s="63" t="s">
        <v>2684</v>
      </c>
      <c r="I194" s="64" t="s">
        <v>443</v>
      </c>
      <c r="J194" s="64">
        <v>11042</v>
      </c>
      <c r="L194" s="40">
        <v>192</v>
      </c>
      <c r="M194" s="63" t="s">
        <v>2685</v>
      </c>
      <c r="N194" s="64" t="s">
        <v>2713</v>
      </c>
      <c r="O194" s="64">
        <v>11853</v>
      </c>
      <c r="Q194" s="40">
        <v>192</v>
      </c>
      <c r="R194" s="63" t="s">
        <v>56</v>
      </c>
      <c r="S194" s="64" t="s">
        <v>645</v>
      </c>
      <c r="T194" s="64">
        <v>8089</v>
      </c>
      <c r="V194" s="67">
        <v>192</v>
      </c>
      <c r="W194" s="63" t="s">
        <v>56</v>
      </c>
      <c r="X194" s="64" t="s">
        <v>1940</v>
      </c>
      <c r="Y194" s="64">
        <v>2749</v>
      </c>
    </row>
    <row r="195" spans="7:25" ht="26" x14ac:dyDescent="0.35">
      <c r="G195" s="67">
        <v>193</v>
      </c>
      <c r="H195" s="63" t="s">
        <v>2684</v>
      </c>
      <c r="I195" s="64" t="s">
        <v>446</v>
      </c>
      <c r="J195" s="64">
        <v>11043</v>
      </c>
      <c r="L195" s="40">
        <v>193</v>
      </c>
      <c r="M195" s="63" t="s">
        <v>2685</v>
      </c>
      <c r="N195" s="64" t="s">
        <v>1705</v>
      </c>
      <c r="O195" s="64">
        <v>11716</v>
      </c>
      <c r="Q195" s="40">
        <v>193</v>
      </c>
      <c r="R195" s="63" t="s">
        <v>56</v>
      </c>
      <c r="S195" s="64" t="s">
        <v>647</v>
      </c>
      <c r="T195" s="64">
        <v>2386</v>
      </c>
      <c r="V195" s="67">
        <v>193</v>
      </c>
      <c r="W195" s="63" t="s">
        <v>56</v>
      </c>
      <c r="X195" s="64" t="s">
        <v>1941</v>
      </c>
      <c r="Y195" s="64">
        <v>10319</v>
      </c>
    </row>
    <row r="196" spans="7:25" ht="26" x14ac:dyDescent="0.35">
      <c r="G196" s="67">
        <v>194</v>
      </c>
      <c r="H196" s="63" t="s">
        <v>2684</v>
      </c>
      <c r="I196" s="64" t="s">
        <v>450</v>
      </c>
      <c r="J196" s="64">
        <v>11044</v>
      </c>
      <c r="L196" s="40">
        <v>194</v>
      </c>
      <c r="M196" s="63" t="s">
        <v>2685</v>
      </c>
      <c r="N196" s="64" t="s">
        <v>2628</v>
      </c>
      <c r="O196" s="64">
        <v>11790</v>
      </c>
      <c r="Q196" s="40">
        <v>194</v>
      </c>
      <c r="R196" s="63" t="s">
        <v>56</v>
      </c>
      <c r="S196" s="64" t="s">
        <v>650</v>
      </c>
      <c r="T196" s="64">
        <v>10570</v>
      </c>
      <c r="V196" s="67">
        <v>194</v>
      </c>
      <c r="W196" s="63" t="s">
        <v>56</v>
      </c>
      <c r="X196" s="64" t="s">
        <v>688</v>
      </c>
      <c r="Y196" s="64">
        <v>2202</v>
      </c>
    </row>
    <row r="197" spans="7:25" ht="26" x14ac:dyDescent="0.35">
      <c r="G197" s="67">
        <v>195</v>
      </c>
      <c r="H197" s="63" t="s">
        <v>2684</v>
      </c>
      <c r="I197" s="64" t="s">
        <v>453</v>
      </c>
      <c r="J197" s="64">
        <v>11045</v>
      </c>
      <c r="L197" s="40">
        <v>195</v>
      </c>
      <c r="M197" s="63" t="s">
        <v>2685</v>
      </c>
      <c r="N197" s="64" t="s">
        <v>733</v>
      </c>
      <c r="O197" s="64">
        <v>10870</v>
      </c>
      <c r="Q197" s="40">
        <v>195</v>
      </c>
      <c r="R197" s="63" t="s">
        <v>56</v>
      </c>
      <c r="S197" s="64" t="s">
        <v>653</v>
      </c>
      <c r="T197" s="64">
        <v>3533</v>
      </c>
      <c r="V197" s="67">
        <v>195</v>
      </c>
      <c r="W197" s="63" t="s">
        <v>56</v>
      </c>
      <c r="X197" s="64" t="s">
        <v>691</v>
      </c>
      <c r="Y197" s="64">
        <v>2203</v>
      </c>
    </row>
    <row r="198" spans="7:25" ht="26" x14ac:dyDescent="0.35">
      <c r="G198" s="67">
        <v>196</v>
      </c>
      <c r="H198" s="63" t="s">
        <v>2684</v>
      </c>
      <c r="I198" s="64" t="s">
        <v>456</v>
      </c>
      <c r="J198" s="64">
        <v>11046</v>
      </c>
      <c r="L198" s="40">
        <v>196</v>
      </c>
      <c r="M198" s="63" t="s">
        <v>2685</v>
      </c>
      <c r="N198" s="64" t="s">
        <v>120</v>
      </c>
      <c r="O198" s="64">
        <v>11117</v>
      </c>
      <c r="Q198" s="40">
        <v>196</v>
      </c>
      <c r="R198" s="63" t="s">
        <v>56</v>
      </c>
      <c r="S198" s="64" t="s">
        <v>656</v>
      </c>
      <c r="T198" s="64">
        <v>10561</v>
      </c>
      <c r="V198" s="67">
        <v>196</v>
      </c>
      <c r="W198" s="63" t="s">
        <v>56</v>
      </c>
      <c r="X198" s="64" t="s">
        <v>2429</v>
      </c>
      <c r="Y198" s="64">
        <v>2930</v>
      </c>
    </row>
    <row r="199" spans="7:25" ht="26" x14ac:dyDescent="0.35">
      <c r="G199" s="67">
        <v>197</v>
      </c>
      <c r="H199" s="63" t="s">
        <v>2684</v>
      </c>
      <c r="I199" s="64" t="s">
        <v>458</v>
      </c>
      <c r="J199" s="64">
        <v>11047</v>
      </c>
      <c r="L199" s="40">
        <v>197</v>
      </c>
      <c r="M199" s="63" t="s">
        <v>2685</v>
      </c>
      <c r="N199" s="64" t="s">
        <v>129</v>
      </c>
      <c r="O199" s="64">
        <v>11118</v>
      </c>
      <c r="Q199" s="40">
        <v>197</v>
      </c>
      <c r="R199" s="63" t="s">
        <v>56</v>
      </c>
      <c r="S199" s="64" t="s">
        <v>658</v>
      </c>
      <c r="T199" s="64">
        <v>8114</v>
      </c>
      <c r="V199" s="67">
        <v>197</v>
      </c>
      <c r="W199" s="63" t="s">
        <v>56</v>
      </c>
      <c r="X199" s="64" t="s">
        <v>2338</v>
      </c>
      <c r="Y199" s="64">
        <v>10320</v>
      </c>
    </row>
    <row r="200" spans="7:25" ht="26" x14ac:dyDescent="0.35">
      <c r="G200" s="67">
        <v>198</v>
      </c>
      <c r="H200" s="63" t="s">
        <v>2684</v>
      </c>
      <c r="I200" s="64" t="s">
        <v>460</v>
      </c>
      <c r="J200" s="64">
        <v>11048</v>
      </c>
      <c r="L200" s="40">
        <v>198</v>
      </c>
      <c r="M200" s="63" t="s">
        <v>2685</v>
      </c>
      <c r="N200" s="64" t="s">
        <v>2701</v>
      </c>
      <c r="O200" s="64">
        <v>11841</v>
      </c>
      <c r="Q200" s="40">
        <v>198</v>
      </c>
      <c r="R200" s="63" t="s">
        <v>56</v>
      </c>
      <c r="S200" s="64" t="s">
        <v>661</v>
      </c>
      <c r="T200" s="64">
        <v>10148</v>
      </c>
      <c r="V200" s="67">
        <v>198</v>
      </c>
      <c r="W200" s="63" t="s">
        <v>56</v>
      </c>
      <c r="X200" s="64" t="s">
        <v>698</v>
      </c>
      <c r="Y200" s="64">
        <v>10260</v>
      </c>
    </row>
    <row r="201" spans="7:25" ht="26" x14ac:dyDescent="0.35">
      <c r="G201" s="67">
        <v>199</v>
      </c>
      <c r="H201" s="63" t="s">
        <v>2684</v>
      </c>
      <c r="I201" s="64" t="s">
        <v>462</v>
      </c>
      <c r="J201" s="64">
        <v>11049</v>
      </c>
      <c r="L201" s="40">
        <v>199</v>
      </c>
      <c r="M201" s="63" t="s">
        <v>2685</v>
      </c>
      <c r="N201" s="64" t="s">
        <v>2704</v>
      </c>
      <c r="O201" s="64">
        <v>11844</v>
      </c>
      <c r="Q201" s="40">
        <v>199</v>
      </c>
      <c r="R201" s="63" t="s">
        <v>56</v>
      </c>
      <c r="S201" s="64" t="s">
        <v>663</v>
      </c>
      <c r="T201" s="64">
        <v>8129</v>
      </c>
      <c r="V201" s="67">
        <v>199</v>
      </c>
      <c r="W201" s="63" t="s">
        <v>56</v>
      </c>
      <c r="X201" s="64" t="s">
        <v>1943</v>
      </c>
      <c r="Y201" s="64">
        <v>3305</v>
      </c>
    </row>
    <row r="202" spans="7:25" ht="26" x14ac:dyDescent="0.35">
      <c r="G202" s="67">
        <v>200</v>
      </c>
      <c r="H202" s="63" t="s">
        <v>2684</v>
      </c>
      <c r="I202" s="64" t="s">
        <v>466</v>
      </c>
      <c r="J202" s="64">
        <v>11052</v>
      </c>
      <c r="L202" s="40">
        <v>200</v>
      </c>
      <c r="M202" s="63" t="s">
        <v>2685</v>
      </c>
      <c r="N202" s="64" t="s">
        <v>2702</v>
      </c>
      <c r="O202" s="64">
        <v>11842</v>
      </c>
      <c r="Q202" s="40">
        <v>200</v>
      </c>
      <c r="R202" s="63" t="s">
        <v>56</v>
      </c>
      <c r="S202" s="64" t="s">
        <v>665</v>
      </c>
      <c r="T202" s="64">
        <v>8017</v>
      </c>
      <c r="V202" s="67">
        <v>200</v>
      </c>
      <c r="W202" s="63" t="s">
        <v>56</v>
      </c>
      <c r="X202" s="64" t="s">
        <v>1944</v>
      </c>
      <c r="Y202" s="64">
        <v>2751</v>
      </c>
    </row>
    <row r="203" spans="7:25" ht="26" x14ac:dyDescent="0.35">
      <c r="G203" s="67">
        <v>201</v>
      </c>
      <c r="H203" s="63" t="s">
        <v>2684</v>
      </c>
      <c r="I203" s="64" t="s">
        <v>468</v>
      </c>
      <c r="J203" s="64">
        <v>11053</v>
      </c>
      <c r="L203" s="40">
        <v>201</v>
      </c>
      <c r="M203" s="63" t="s">
        <v>2685</v>
      </c>
      <c r="N203" s="64" t="s">
        <v>2705</v>
      </c>
      <c r="O203" s="64">
        <v>11845</v>
      </c>
      <c r="Q203" s="40">
        <v>201</v>
      </c>
      <c r="R203" s="63" t="s">
        <v>56</v>
      </c>
      <c r="S203" s="64" t="s">
        <v>667</v>
      </c>
      <c r="T203" s="64">
        <v>8012</v>
      </c>
      <c r="V203" s="67">
        <v>201</v>
      </c>
      <c r="W203" s="63" t="s">
        <v>56</v>
      </c>
      <c r="X203" s="64" t="s">
        <v>1945</v>
      </c>
      <c r="Y203" s="64">
        <v>2752</v>
      </c>
    </row>
    <row r="204" spans="7:25" ht="26" x14ac:dyDescent="0.35">
      <c r="G204" s="67">
        <v>202</v>
      </c>
      <c r="H204" s="63" t="s">
        <v>2684</v>
      </c>
      <c r="I204" s="64" t="s">
        <v>476</v>
      </c>
      <c r="J204" s="64">
        <v>11057</v>
      </c>
      <c r="L204" s="40">
        <v>202</v>
      </c>
      <c r="M204" s="63" t="s">
        <v>2685</v>
      </c>
      <c r="N204" s="64" t="s">
        <v>2703</v>
      </c>
      <c r="O204" s="64">
        <v>11843</v>
      </c>
      <c r="Q204" s="40">
        <v>202</v>
      </c>
      <c r="R204" s="63" t="s">
        <v>56</v>
      </c>
      <c r="S204" s="64" t="s">
        <v>672</v>
      </c>
      <c r="T204" s="64">
        <v>8133</v>
      </c>
      <c r="V204" s="67">
        <v>202</v>
      </c>
      <c r="W204" s="63" t="s">
        <v>56</v>
      </c>
      <c r="X204" s="64" t="s">
        <v>1946</v>
      </c>
      <c r="Y204" s="64">
        <v>2753</v>
      </c>
    </row>
    <row r="205" spans="7:25" ht="26" x14ac:dyDescent="0.35">
      <c r="G205" s="67">
        <v>203</v>
      </c>
      <c r="H205" s="63" t="s">
        <v>2684</v>
      </c>
      <c r="I205" s="64" t="s">
        <v>480</v>
      </c>
      <c r="J205" s="64">
        <v>11059</v>
      </c>
      <c r="L205" s="40">
        <v>203</v>
      </c>
      <c r="M205" s="63" t="s">
        <v>2685</v>
      </c>
      <c r="N205" s="64" t="s">
        <v>2698</v>
      </c>
      <c r="O205" s="64">
        <v>11837</v>
      </c>
      <c r="Q205" s="40">
        <v>203</v>
      </c>
      <c r="R205" s="63" t="s">
        <v>56</v>
      </c>
      <c r="S205" s="64" t="s">
        <v>676</v>
      </c>
      <c r="T205" s="64">
        <v>2400</v>
      </c>
      <c r="V205" s="67">
        <v>203</v>
      </c>
      <c r="W205" s="63" t="s">
        <v>56</v>
      </c>
      <c r="X205" s="64" t="s">
        <v>1949</v>
      </c>
      <c r="Y205" s="64">
        <v>8174</v>
      </c>
    </row>
    <row r="206" spans="7:25" ht="26" x14ac:dyDescent="0.35">
      <c r="G206" s="67">
        <v>204</v>
      </c>
      <c r="H206" s="63" t="s">
        <v>2684</v>
      </c>
      <c r="I206" s="64" t="s">
        <v>484</v>
      </c>
      <c r="J206" s="64">
        <v>11062</v>
      </c>
      <c r="L206" s="40">
        <v>204</v>
      </c>
      <c r="M206" s="63" t="s">
        <v>2685</v>
      </c>
      <c r="N206" s="64" t="s">
        <v>2700</v>
      </c>
      <c r="O206" s="64">
        <v>11840</v>
      </c>
      <c r="Q206" s="40">
        <v>204</v>
      </c>
      <c r="R206" s="63" t="s">
        <v>56</v>
      </c>
      <c r="S206" s="64" t="s">
        <v>678</v>
      </c>
      <c r="T206" s="64">
        <v>9977</v>
      </c>
      <c r="V206" s="67">
        <v>204</v>
      </c>
      <c r="W206" s="63" t="s">
        <v>56</v>
      </c>
      <c r="X206" s="64" t="s">
        <v>1950</v>
      </c>
      <c r="Y206" s="64">
        <v>10261</v>
      </c>
    </row>
    <row r="207" spans="7:25" ht="26" x14ac:dyDescent="0.35">
      <c r="G207" s="67">
        <v>205</v>
      </c>
      <c r="H207" s="63" t="s">
        <v>2684</v>
      </c>
      <c r="I207" s="64" t="s">
        <v>486</v>
      </c>
      <c r="J207" s="64">
        <v>11063</v>
      </c>
      <c r="L207" s="40">
        <v>205</v>
      </c>
      <c r="M207" s="63" t="s">
        <v>2685</v>
      </c>
      <c r="N207" s="64" t="s">
        <v>2699</v>
      </c>
      <c r="O207" s="64">
        <v>11839</v>
      </c>
      <c r="Q207" s="40">
        <v>205</v>
      </c>
      <c r="R207" s="63" t="s">
        <v>56</v>
      </c>
      <c r="S207" s="64" t="s">
        <v>680</v>
      </c>
      <c r="T207" s="64">
        <v>10195</v>
      </c>
      <c r="V207" s="67">
        <v>205</v>
      </c>
      <c r="W207" s="63" t="s">
        <v>56</v>
      </c>
      <c r="X207" s="64" t="s">
        <v>1936</v>
      </c>
      <c r="Y207" s="64">
        <v>8305</v>
      </c>
    </row>
    <row r="208" spans="7:25" ht="26" x14ac:dyDescent="0.25">
      <c r="G208" s="67">
        <v>206</v>
      </c>
      <c r="H208" s="63" t="s">
        <v>2684</v>
      </c>
      <c r="I208" s="64" t="s">
        <v>488</v>
      </c>
      <c r="J208" s="64">
        <v>11064</v>
      </c>
      <c r="L208" s="40">
        <v>206</v>
      </c>
      <c r="M208" s="63" t="s">
        <v>2685</v>
      </c>
      <c r="N208" s="64" t="s">
        <v>741</v>
      </c>
      <c r="O208" s="64">
        <v>10874</v>
      </c>
      <c r="Q208" s="40">
        <v>206</v>
      </c>
      <c r="R208" s="63" t="s">
        <v>56</v>
      </c>
      <c r="S208" s="64" t="s">
        <v>683</v>
      </c>
      <c r="T208" s="64">
        <v>8049</v>
      </c>
      <c r="V208" s="67">
        <v>206</v>
      </c>
      <c r="W208" s="63" t="s">
        <v>56</v>
      </c>
      <c r="X208" s="78" t="s">
        <v>2723</v>
      </c>
      <c r="Y208" s="64">
        <v>11834</v>
      </c>
    </row>
    <row r="209" spans="7:25" ht="26" x14ac:dyDescent="0.35">
      <c r="G209" s="67">
        <v>207</v>
      </c>
      <c r="H209" s="63" t="s">
        <v>2684</v>
      </c>
      <c r="I209" s="64" t="s">
        <v>490</v>
      </c>
      <c r="J209" s="64">
        <v>11065</v>
      </c>
      <c r="L209" s="40">
        <v>207</v>
      </c>
      <c r="M209" s="63" t="s">
        <v>2685</v>
      </c>
      <c r="N209" s="80" t="s">
        <v>634</v>
      </c>
      <c r="O209" s="75" t="s">
        <v>2996</v>
      </c>
      <c r="Q209" s="40">
        <v>207</v>
      </c>
      <c r="R209" s="63" t="s">
        <v>56</v>
      </c>
      <c r="S209" s="64" t="s">
        <v>685</v>
      </c>
      <c r="T209" s="64">
        <v>10202</v>
      </c>
      <c r="V209" s="67">
        <v>207</v>
      </c>
      <c r="W209" s="63" t="s">
        <v>56</v>
      </c>
      <c r="X209" s="64" t="s">
        <v>1951</v>
      </c>
      <c r="Y209" s="64">
        <v>2754</v>
      </c>
    </row>
    <row r="210" spans="7:25" ht="26" x14ac:dyDescent="0.35">
      <c r="G210" s="67">
        <v>208</v>
      </c>
      <c r="H210" s="63" t="s">
        <v>2684</v>
      </c>
      <c r="I210" s="64" t="s">
        <v>492</v>
      </c>
      <c r="J210" s="64">
        <v>11066</v>
      </c>
      <c r="L210" s="40">
        <v>208</v>
      </c>
      <c r="M210" s="63" t="s">
        <v>2685</v>
      </c>
      <c r="N210" s="64" t="s">
        <v>1412</v>
      </c>
      <c r="O210" s="64">
        <v>11499</v>
      </c>
      <c r="Q210" s="40">
        <v>208</v>
      </c>
      <c r="R210" s="63" t="s">
        <v>56</v>
      </c>
      <c r="S210" s="64" t="s">
        <v>687</v>
      </c>
      <c r="T210" s="64">
        <v>10573</v>
      </c>
      <c r="V210" s="67">
        <v>208</v>
      </c>
      <c r="W210" s="63" t="s">
        <v>56</v>
      </c>
      <c r="X210" s="64" t="s">
        <v>1952</v>
      </c>
      <c r="Y210" s="64">
        <v>8298</v>
      </c>
    </row>
    <row r="211" spans="7:25" ht="26" x14ac:dyDescent="0.35">
      <c r="G211" s="67">
        <v>209</v>
      </c>
      <c r="H211" s="63" t="s">
        <v>2684</v>
      </c>
      <c r="I211" s="64" t="s">
        <v>498</v>
      </c>
      <c r="J211" s="64">
        <v>11070</v>
      </c>
      <c r="L211" s="40">
        <v>209</v>
      </c>
      <c r="M211" s="63" t="s">
        <v>2685</v>
      </c>
      <c r="N211" s="64" t="s">
        <v>743</v>
      </c>
      <c r="O211" s="64">
        <v>10875</v>
      </c>
      <c r="Q211" s="40">
        <v>209</v>
      </c>
      <c r="R211" s="63" t="s">
        <v>56</v>
      </c>
      <c r="S211" s="64" t="s">
        <v>690</v>
      </c>
      <c r="T211" s="64">
        <v>8087</v>
      </c>
      <c r="V211" s="67">
        <v>209</v>
      </c>
      <c r="W211" s="63" t="s">
        <v>56</v>
      </c>
      <c r="X211" s="64" t="s">
        <v>1953</v>
      </c>
      <c r="Y211" s="64">
        <v>2755</v>
      </c>
    </row>
    <row r="212" spans="7:25" ht="26" x14ac:dyDescent="0.35">
      <c r="G212" s="67">
        <v>210</v>
      </c>
      <c r="H212" s="63" t="s">
        <v>2684</v>
      </c>
      <c r="I212" s="64" t="s">
        <v>500</v>
      </c>
      <c r="J212" s="64">
        <v>11071</v>
      </c>
      <c r="L212" s="40">
        <v>210</v>
      </c>
      <c r="M212" s="63" t="s">
        <v>2685</v>
      </c>
      <c r="N212" s="64" t="s">
        <v>1706</v>
      </c>
      <c r="O212" s="64">
        <v>11717</v>
      </c>
      <c r="Q212" s="40">
        <v>210</v>
      </c>
      <c r="R212" s="63" t="s">
        <v>56</v>
      </c>
      <c r="S212" s="64" t="s">
        <v>693</v>
      </c>
      <c r="T212" s="64">
        <v>8104</v>
      </c>
      <c r="V212" s="67">
        <v>210</v>
      </c>
      <c r="W212" s="63" t="s">
        <v>56</v>
      </c>
      <c r="X212" s="64" t="s">
        <v>1947</v>
      </c>
      <c r="Y212" s="64">
        <v>2756</v>
      </c>
    </row>
    <row r="213" spans="7:25" ht="26" x14ac:dyDescent="0.35">
      <c r="G213" s="67">
        <v>211</v>
      </c>
      <c r="H213" s="63" t="s">
        <v>2684</v>
      </c>
      <c r="I213" s="64" t="s">
        <v>502</v>
      </c>
      <c r="J213" s="64">
        <v>11072</v>
      </c>
      <c r="L213" s="40">
        <v>211</v>
      </c>
      <c r="M213" s="63" t="s">
        <v>2685</v>
      </c>
      <c r="N213" s="64" t="s">
        <v>136</v>
      </c>
      <c r="O213" s="64">
        <v>11192</v>
      </c>
      <c r="Q213" s="40">
        <v>211</v>
      </c>
      <c r="R213" s="63" t="s">
        <v>56</v>
      </c>
      <c r="S213" s="64" t="s">
        <v>695</v>
      </c>
      <c r="T213" s="64">
        <v>8108</v>
      </c>
      <c r="V213" s="67">
        <v>211</v>
      </c>
      <c r="W213" s="63" t="s">
        <v>56</v>
      </c>
      <c r="X213" s="64" t="s">
        <v>1954</v>
      </c>
      <c r="Y213" s="64">
        <v>3308</v>
      </c>
    </row>
    <row r="214" spans="7:25" ht="26" x14ac:dyDescent="0.35">
      <c r="G214" s="67">
        <v>212</v>
      </c>
      <c r="H214" s="63" t="s">
        <v>2684</v>
      </c>
      <c r="I214" s="64" t="s">
        <v>1456</v>
      </c>
      <c r="J214" s="64">
        <v>11073</v>
      </c>
      <c r="L214" s="40">
        <v>212</v>
      </c>
      <c r="M214" s="63" t="s">
        <v>2685</v>
      </c>
      <c r="N214" s="64" t="s">
        <v>140</v>
      </c>
      <c r="O214" s="64">
        <v>11197</v>
      </c>
      <c r="Q214" s="40">
        <v>212</v>
      </c>
      <c r="R214" s="63" t="s">
        <v>56</v>
      </c>
      <c r="S214" s="64" t="s">
        <v>697</v>
      </c>
      <c r="T214" s="64">
        <v>2409</v>
      </c>
      <c r="V214" s="67">
        <v>212</v>
      </c>
      <c r="W214" s="63" t="s">
        <v>56</v>
      </c>
      <c r="X214" s="64" t="s">
        <v>1955</v>
      </c>
      <c r="Y214" s="64">
        <v>2215</v>
      </c>
    </row>
    <row r="215" spans="7:25" ht="26" x14ac:dyDescent="0.35">
      <c r="G215" s="67">
        <v>213</v>
      </c>
      <c r="H215" s="63" t="s">
        <v>2684</v>
      </c>
      <c r="I215" s="64" t="s">
        <v>1347</v>
      </c>
      <c r="J215" s="64">
        <v>11076</v>
      </c>
      <c r="L215" s="40">
        <v>213</v>
      </c>
      <c r="M215" s="63" t="s">
        <v>2685</v>
      </c>
      <c r="N215" s="64" t="s">
        <v>143</v>
      </c>
      <c r="O215" s="64">
        <v>11195</v>
      </c>
      <c r="Q215" s="40">
        <v>213</v>
      </c>
      <c r="R215" s="63" t="s">
        <v>56</v>
      </c>
      <c r="S215" s="64" t="s">
        <v>700</v>
      </c>
      <c r="T215" s="64">
        <v>2411</v>
      </c>
      <c r="V215" s="67">
        <v>213</v>
      </c>
      <c r="W215" s="63" t="s">
        <v>56</v>
      </c>
      <c r="X215" s="64" t="s">
        <v>732</v>
      </c>
      <c r="Y215" s="64">
        <v>2757</v>
      </c>
    </row>
    <row r="216" spans="7:25" ht="26" x14ac:dyDescent="0.35">
      <c r="G216" s="67">
        <v>214</v>
      </c>
      <c r="H216" s="63" t="s">
        <v>2684</v>
      </c>
      <c r="I216" s="64" t="s">
        <v>517</v>
      </c>
      <c r="J216" s="64">
        <v>11080</v>
      </c>
      <c r="L216" s="40">
        <v>214</v>
      </c>
      <c r="M216" s="63" t="s">
        <v>2685</v>
      </c>
      <c r="N216" s="64" t="s">
        <v>147</v>
      </c>
      <c r="O216" s="64">
        <v>11196</v>
      </c>
      <c r="Q216" s="40">
        <v>214</v>
      </c>
      <c r="R216" s="63" t="s">
        <v>56</v>
      </c>
      <c r="S216" s="64" t="s">
        <v>703</v>
      </c>
      <c r="T216" s="64">
        <v>2417</v>
      </c>
      <c r="V216" s="67">
        <v>214</v>
      </c>
      <c r="W216" s="63" t="s">
        <v>56</v>
      </c>
      <c r="X216" s="64" t="s">
        <v>1956</v>
      </c>
      <c r="Y216" s="64">
        <v>3309</v>
      </c>
    </row>
    <row r="217" spans="7:25" ht="26" x14ac:dyDescent="0.35">
      <c r="G217" s="67">
        <v>215</v>
      </c>
      <c r="H217" s="63" t="s">
        <v>2684</v>
      </c>
      <c r="I217" s="64" t="s">
        <v>519</v>
      </c>
      <c r="J217" s="64">
        <v>11081</v>
      </c>
      <c r="L217" s="40">
        <v>215</v>
      </c>
      <c r="M217" s="63" t="s">
        <v>2685</v>
      </c>
      <c r="N217" s="64" t="s">
        <v>151</v>
      </c>
      <c r="O217" s="64">
        <v>11193</v>
      </c>
      <c r="Q217" s="40">
        <v>215</v>
      </c>
      <c r="R217" s="63" t="s">
        <v>56</v>
      </c>
      <c r="S217" s="64" t="s">
        <v>705</v>
      </c>
      <c r="T217" s="64">
        <v>10585</v>
      </c>
      <c r="V217" s="67">
        <v>215</v>
      </c>
      <c r="W217" s="63" t="s">
        <v>56</v>
      </c>
      <c r="X217" s="64" t="s">
        <v>1958</v>
      </c>
      <c r="Y217" s="64">
        <v>10439</v>
      </c>
    </row>
    <row r="218" spans="7:25" ht="26" x14ac:dyDescent="0.35">
      <c r="G218" s="67">
        <v>216</v>
      </c>
      <c r="H218" s="63" t="s">
        <v>2684</v>
      </c>
      <c r="I218" s="64" t="s">
        <v>521</v>
      </c>
      <c r="J218" s="64">
        <v>11082</v>
      </c>
      <c r="L218" s="40">
        <v>216</v>
      </c>
      <c r="M218" s="63" t="s">
        <v>2685</v>
      </c>
      <c r="N218" s="64" t="s">
        <v>155</v>
      </c>
      <c r="O218" s="64">
        <v>11194</v>
      </c>
      <c r="Q218" s="40">
        <v>216</v>
      </c>
      <c r="R218" s="63" t="s">
        <v>56</v>
      </c>
      <c r="S218" s="64" t="s">
        <v>707</v>
      </c>
      <c r="T218" s="64">
        <v>8061</v>
      </c>
      <c r="V218" s="67">
        <v>216</v>
      </c>
      <c r="W218" s="63" t="s">
        <v>56</v>
      </c>
      <c r="X218" s="64" t="s">
        <v>1959</v>
      </c>
      <c r="Y218" s="64">
        <v>2218</v>
      </c>
    </row>
    <row r="219" spans="7:25" ht="26" x14ac:dyDescent="0.35">
      <c r="G219" s="67">
        <v>217</v>
      </c>
      <c r="H219" s="63" t="s">
        <v>2684</v>
      </c>
      <c r="I219" s="64" t="s">
        <v>523</v>
      </c>
      <c r="J219" s="64">
        <v>11083</v>
      </c>
      <c r="L219" s="40">
        <v>217</v>
      </c>
      <c r="M219" s="63" t="s">
        <v>2685</v>
      </c>
      <c r="N219" s="64" t="s">
        <v>1707</v>
      </c>
      <c r="O219" s="64">
        <v>11718</v>
      </c>
      <c r="Q219" s="40">
        <v>217</v>
      </c>
      <c r="R219" s="63" t="s">
        <v>56</v>
      </c>
      <c r="S219" s="64" t="s">
        <v>709</v>
      </c>
      <c r="T219" s="64">
        <v>8046</v>
      </c>
      <c r="V219" s="67">
        <v>217</v>
      </c>
      <c r="W219" s="63" t="s">
        <v>56</v>
      </c>
      <c r="X219" s="64" t="s">
        <v>2430</v>
      </c>
      <c r="Y219" s="64">
        <v>8212</v>
      </c>
    </row>
    <row r="220" spans="7:25" ht="26" x14ac:dyDescent="0.35">
      <c r="G220" s="67">
        <v>218</v>
      </c>
      <c r="H220" s="63" t="s">
        <v>2684</v>
      </c>
      <c r="I220" s="64" t="s">
        <v>525</v>
      </c>
      <c r="J220" s="64">
        <v>11085</v>
      </c>
      <c r="L220" s="40">
        <v>218</v>
      </c>
      <c r="M220" s="63" t="s">
        <v>2685</v>
      </c>
      <c r="N220" s="64" t="s">
        <v>2676</v>
      </c>
      <c r="O220" s="64">
        <v>11232</v>
      </c>
      <c r="Q220" s="40">
        <v>218</v>
      </c>
      <c r="R220" s="63" t="s">
        <v>56</v>
      </c>
      <c r="S220" s="64" t="s">
        <v>710</v>
      </c>
      <c r="T220" s="64">
        <v>8045</v>
      </c>
      <c r="V220" s="67">
        <v>218</v>
      </c>
      <c r="W220" s="63" t="s">
        <v>56</v>
      </c>
      <c r="X220" s="64" t="s">
        <v>1962</v>
      </c>
      <c r="Y220" s="64">
        <v>10159</v>
      </c>
    </row>
    <row r="221" spans="7:25" ht="26" x14ac:dyDescent="0.35">
      <c r="G221" s="67">
        <v>219</v>
      </c>
      <c r="H221" s="63" t="s">
        <v>2684</v>
      </c>
      <c r="I221" s="64" t="s">
        <v>527</v>
      </c>
      <c r="J221" s="64">
        <v>11086</v>
      </c>
      <c r="L221" s="40">
        <v>219</v>
      </c>
      <c r="M221" s="63" t="s">
        <v>2685</v>
      </c>
      <c r="N221" s="64" t="s">
        <v>1482</v>
      </c>
      <c r="O221" s="64">
        <v>11515</v>
      </c>
      <c r="Q221" s="40">
        <v>219</v>
      </c>
      <c r="R221" s="63" t="s">
        <v>56</v>
      </c>
      <c r="S221" s="64" t="s">
        <v>712</v>
      </c>
      <c r="T221" s="64">
        <v>8029</v>
      </c>
      <c r="V221" s="67">
        <v>219</v>
      </c>
      <c r="W221" s="63" t="s">
        <v>56</v>
      </c>
      <c r="X221" s="64" t="s">
        <v>1935</v>
      </c>
      <c r="Y221" s="64">
        <v>3299</v>
      </c>
    </row>
    <row r="222" spans="7:25" ht="26" x14ac:dyDescent="0.35">
      <c r="G222" s="67">
        <v>220</v>
      </c>
      <c r="H222" s="63" t="s">
        <v>2684</v>
      </c>
      <c r="I222" s="64" t="s">
        <v>529</v>
      </c>
      <c r="J222" s="64">
        <v>11087</v>
      </c>
      <c r="L222" s="40">
        <v>220</v>
      </c>
      <c r="M222" s="63" t="s">
        <v>2685</v>
      </c>
      <c r="N222" s="64" t="s">
        <v>1335</v>
      </c>
      <c r="O222" s="64">
        <v>11392</v>
      </c>
      <c r="Q222" s="40">
        <v>220</v>
      </c>
      <c r="R222" s="63" t="s">
        <v>56</v>
      </c>
      <c r="S222" s="64" t="s">
        <v>714</v>
      </c>
      <c r="T222" s="64">
        <v>10055</v>
      </c>
      <c r="V222" s="67">
        <v>220</v>
      </c>
      <c r="W222" s="63" t="s">
        <v>56</v>
      </c>
      <c r="X222" s="64" t="s">
        <v>1948</v>
      </c>
      <c r="Y222" s="64">
        <v>2761</v>
      </c>
    </row>
    <row r="223" spans="7:25" ht="26" x14ac:dyDescent="0.35">
      <c r="G223" s="67">
        <v>221</v>
      </c>
      <c r="H223" s="63" t="s">
        <v>2693</v>
      </c>
      <c r="I223" s="64" t="s">
        <v>2622</v>
      </c>
      <c r="J223" s="64">
        <v>11734</v>
      </c>
      <c r="L223" s="40">
        <v>221</v>
      </c>
      <c r="M223" s="63" t="s">
        <v>2685</v>
      </c>
      <c r="N223" s="64" t="s">
        <v>745</v>
      </c>
      <c r="O223" s="64">
        <v>11356</v>
      </c>
      <c r="Q223" s="40">
        <v>221</v>
      </c>
      <c r="R223" s="63" t="s">
        <v>56</v>
      </c>
      <c r="S223" s="64" t="s">
        <v>717</v>
      </c>
      <c r="T223" s="64">
        <v>2429</v>
      </c>
      <c r="V223" s="67">
        <v>221</v>
      </c>
      <c r="W223" s="63" t="s">
        <v>56</v>
      </c>
      <c r="X223" s="64" t="s">
        <v>760</v>
      </c>
      <c r="Y223" s="64">
        <v>10265</v>
      </c>
    </row>
    <row r="224" spans="7:25" ht="26" x14ac:dyDescent="0.35">
      <c r="G224" s="67">
        <v>222</v>
      </c>
      <c r="H224" s="63" t="s">
        <v>2693</v>
      </c>
      <c r="I224" s="64" t="s">
        <v>142</v>
      </c>
      <c r="J224" s="64">
        <v>10935</v>
      </c>
      <c r="L224" s="40">
        <v>222</v>
      </c>
      <c r="M224" s="63" t="s">
        <v>2685</v>
      </c>
      <c r="N224" s="64" t="s">
        <v>669</v>
      </c>
      <c r="O224" s="64">
        <v>11391</v>
      </c>
      <c r="Q224" s="40">
        <v>222</v>
      </c>
      <c r="R224" s="63" t="s">
        <v>56</v>
      </c>
      <c r="S224" s="64" t="s">
        <v>719</v>
      </c>
      <c r="T224" s="64">
        <v>8154</v>
      </c>
      <c r="V224" s="67">
        <v>222</v>
      </c>
      <c r="W224" s="63" t="s">
        <v>56</v>
      </c>
      <c r="X224" s="64" t="s">
        <v>1963</v>
      </c>
      <c r="Y224" s="64">
        <v>10339</v>
      </c>
    </row>
    <row r="225" spans="7:25" ht="26" x14ac:dyDescent="0.35">
      <c r="G225" s="67">
        <v>223</v>
      </c>
      <c r="H225" s="63" t="s">
        <v>2693</v>
      </c>
      <c r="I225" s="64" t="s">
        <v>2759</v>
      </c>
      <c r="J225" s="64">
        <v>11308</v>
      </c>
      <c r="L225" s="40">
        <v>223</v>
      </c>
      <c r="M225" s="63" t="s">
        <v>2685</v>
      </c>
      <c r="N225" s="64" t="s">
        <v>2368</v>
      </c>
      <c r="O225" s="64">
        <v>11872</v>
      </c>
      <c r="Q225" s="40">
        <v>223</v>
      </c>
      <c r="R225" s="63" t="s">
        <v>56</v>
      </c>
      <c r="S225" s="64" t="s">
        <v>721</v>
      </c>
      <c r="T225" s="64">
        <v>8081</v>
      </c>
      <c r="V225" s="67">
        <v>223</v>
      </c>
      <c r="W225" s="63" t="s">
        <v>56</v>
      </c>
      <c r="X225" s="64" t="s">
        <v>1960</v>
      </c>
      <c r="Y225" s="64">
        <v>3311</v>
      </c>
    </row>
    <row r="226" spans="7:25" ht="26" x14ac:dyDescent="0.35">
      <c r="G226" s="67">
        <v>224</v>
      </c>
      <c r="H226" s="63" t="s">
        <v>2693</v>
      </c>
      <c r="I226" s="64" t="s">
        <v>318</v>
      </c>
      <c r="J226" s="64">
        <v>11098</v>
      </c>
      <c r="L226" s="40">
        <v>224</v>
      </c>
      <c r="M226" s="63" t="s">
        <v>2685</v>
      </c>
      <c r="N226" s="64" t="s">
        <v>2864</v>
      </c>
      <c r="O226" s="64">
        <v>11987</v>
      </c>
      <c r="Q226" s="40">
        <v>224</v>
      </c>
      <c r="R226" s="63" t="s">
        <v>56</v>
      </c>
      <c r="S226" s="64" t="s">
        <v>723</v>
      </c>
      <c r="T226" s="64">
        <v>9961</v>
      </c>
      <c r="V226" s="67">
        <v>224</v>
      </c>
      <c r="W226" s="63" t="s">
        <v>56</v>
      </c>
      <c r="X226" s="64" t="s">
        <v>1964</v>
      </c>
      <c r="Y226" s="64">
        <v>3312</v>
      </c>
    </row>
    <row r="227" spans="7:25" ht="26" x14ac:dyDescent="0.35">
      <c r="G227" s="67">
        <v>225</v>
      </c>
      <c r="H227" s="63" t="s">
        <v>2693</v>
      </c>
      <c r="I227" s="64" t="s">
        <v>321</v>
      </c>
      <c r="J227" s="64">
        <v>11099</v>
      </c>
      <c r="L227" s="40">
        <v>225</v>
      </c>
      <c r="M227" s="63" t="s">
        <v>2685</v>
      </c>
      <c r="N227" s="64" t="s">
        <v>1582</v>
      </c>
      <c r="O227" s="64">
        <v>11693</v>
      </c>
      <c r="Q227" s="40">
        <v>225</v>
      </c>
      <c r="R227" s="63" t="s">
        <v>56</v>
      </c>
      <c r="S227" s="64" t="s">
        <v>725</v>
      </c>
      <c r="T227" s="64">
        <v>8010</v>
      </c>
      <c r="V227" s="67">
        <v>225</v>
      </c>
      <c r="W227" s="63" t="s">
        <v>56</v>
      </c>
      <c r="X227" s="64" t="s">
        <v>1965</v>
      </c>
      <c r="Y227" s="64">
        <v>10263</v>
      </c>
    </row>
    <row r="228" spans="7:25" ht="26" x14ac:dyDescent="0.35">
      <c r="G228" s="67">
        <v>226</v>
      </c>
      <c r="H228" s="63" t="s">
        <v>2693</v>
      </c>
      <c r="I228" s="64" t="s">
        <v>332</v>
      </c>
      <c r="J228" s="64">
        <v>11101</v>
      </c>
      <c r="L228" s="40">
        <v>226</v>
      </c>
      <c r="M228" s="63" t="s">
        <v>2685</v>
      </c>
      <c r="N228" s="64" t="s">
        <v>2708</v>
      </c>
      <c r="O228" s="64">
        <v>11848</v>
      </c>
      <c r="Q228" s="40">
        <v>226</v>
      </c>
      <c r="R228" s="63" t="s">
        <v>56</v>
      </c>
      <c r="S228" s="64" t="s">
        <v>727</v>
      </c>
      <c r="T228" s="64">
        <v>2431</v>
      </c>
      <c r="V228" s="67">
        <v>226</v>
      </c>
      <c r="W228" s="63" t="s">
        <v>56</v>
      </c>
      <c r="X228" s="64" t="s">
        <v>1966</v>
      </c>
      <c r="Y228" s="64">
        <v>3313</v>
      </c>
    </row>
    <row r="229" spans="7:25" ht="26" x14ac:dyDescent="0.35">
      <c r="G229" s="67">
        <v>227</v>
      </c>
      <c r="H229" s="63" t="s">
        <v>2685</v>
      </c>
      <c r="I229" s="64" t="s">
        <v>536</v>
      </c>
      <c r="J229" s="64">
        <v>10798</v>
      </c>
      <c r="L229" s="40">
        <v>227</v>
      </c>
      <c r="M229" s="63" t="s">
        <v>2685</v>
      </c>
      <c r="N229" s="64" t="s">
        <v>2668</v>
      </c>
      <c r="O229" s="64">
        <v>11832</v>
      </c>
      <c r="Q229" s="40">
        <v>227</v>
      </c>
      <c r="R229" s="63" t="s">
        <v>56</v>
      </c>
      <c r="S229" s="64" t="s">
        <v>729</v>
      </c>
      <c r="T229" s="64">
        <v>2433</v>
      </c>
      <c r="V229" s="67">
        <v>227</v>
      </c>
      <c r="W229" s="63" t="s">
        <v>56</v>
      </c>
      <c r="X229" s="64" t="s">
        <v>1967</v>
      </c>
      <c r="Y229" s="64">
        <v>8163</v>
      </c>
    </row>
    <row r="230" spans="7:25" ht="26" x14ac:dyDescent="0.35">
      <c r="G230" s="67">
        <v>228</v>
      </c>
      <c r="H230" s="63" t="s">
        <v>2685</v>
      </c>
      <c r="I230" s="64" t="s">
        <v>538</v>
      </c>
      <c r="J230" s="64">
        <v>10799</v>
      </c>
      <c r="L230" s="40">
        <v>228</v>
      </c>
      <c r="M230" s="63" t="s">
        <v>2685</v>
      </c>
      <c r="N230" s="64" t="s">
        <v>2706</v>
      </c>
      <c r="O230" s="64">
        <v>11846</v>
      </c>
      <c r="Q230" s="40">
        <v>228</v>
      </c>
      <c r="R230" s="63" t="s">
        <v>56</v>
      </c>
      <c r="S230" s="64" t="s">
        <v>731</v>
      </c>
      <c r="T230" s="64">
        <v>9962</v>
      </c>
      <c r="V230" s="67">
        <v>228</v>
      </c>
      <c r="W230" s="63" t="s">
        <v>56</v>
      </c>
      <c r="X230" s="64" t="s">
        <v>1969</v>
      </c>
      <c r="Y230" s="64">
        <v>10264</v>
      </c>
    </row>
    <row r="231" spans="7:25" ht="26" x14ac:dyDescent="0.35">
      <c r="G231" s="67">
        <v>229</v>
      </c>
      <c r="H231" s="63" t="s">
        <v>2685</v>
      </c>
      <c r="I231" s="64" t="s">
        <v>540</v>
      </c>
      <c r="J231" s="64">
        <v>10800</v>
      </c>
      <c r="L231" s="40">
        <v>229</v>
      </c>
      <c r="M231" s="63" t="s">
        <v>2685</v>
      </c>
      <c r="N231" s="64" t="s">
        <v>752</v>
      </c>
      <c r="O231" s="64">
        <v>10877</v>
      </c>
      <c r="Q231" s="40">
        <v>229</v>
      </c>
      <c r="R231" s="63" t="s">
        <v>56</v>
      </c>
      <c r="S231" s="64" t="s">
        <v>734</v>
      </c>
      <c r="T231" s="64">
        <v>2436</v>
      </c>
      <c r="V231" s="67">
        <v>229</v>
      </c>
      <c r="W231" s="63" t="s">
        <v>56</v>
      </c>
      <c r="X231" s="64" t="s">
        <v>1968</v>
      </c>
      <c r="Y231" s="64">
        <v>8323</v>
      </c>
    </row>
    <row r="232" spans="7:25" ht="26" x14ac:dyDescent="0.35">
      <c r="G232" s="67">
        <v>230</v>
      </c>
      <c r="H232" s="63" t="s">
        <v>2685</v>
      </c>
      <c r="I232" s="64" t="s">
        <v>542</v>
      </c>
      <c r="J232" s="64">
        <v>10801</v>
      </c>
      <c r="L232" s="40">
        <v>230</v>
      </c>
      <c r="M232" s="63" t="s">
        <v>2685</v>
      </c>
      <c r="N232" s="64" t="s">
        <v>754</v>
      </c>
      <c r="O232" s="64">
        <v>10878</v>
      </c>
      <c r="Q232" s="40">
        <v>230</v>
      </c>
      <c r="R232" s="63" t="s">
        <v>56</v>
      </c>
      <c r="S232" s="64" t="s">
        <v>736</v>
      </c>
      <c r="T232" s="64">
        <v>2440</v>
      </c>
      <c r="V232" s="67">
        <v>230</v>
      </c>
      <c r="W232" s="63" t="s">
        <v>56</v>
      </c>
      <c r="X232" s="64" t="s">
        <v>1970</v>
      </c>
      <c r="Y232" s="64">
        <v>2763</v>
      </c>
    </row>
    <row r="233" spans="7:25" ht="26" x14ac:dyDescent="0.35">
      <c r="G233" s="67">
        <v>231</v>
      </c>
      <c r="H233" s="8" t="s">
        <v>2685</v>
      </c>
      <c r="I233" s="64" t="s">
        <v>2715</v>
      </c>
      <c r="J233" s="64">
        <v>11855</v>
      </c>
      <c r="L233" s="40">
        <v>231</v>
      </c>
      <c r="M233" s="63" t="s">
        <v>2685</v>
      </c>
      <c r="N233" s="64" t="s">
        <v>701</v>
      </c>
      <c r="O233" s="64">
        <v>11695</v>
      </c>
      <c r="Q233" s="40">
        <v>231</v>
      </c>
      <c r="R233" s="63" t="s">
        <v>56</v>
      </c>
      <c r="S233" s="64" t="s">
        <v>738</v>
      </c>
      <c r="T233" s="64">
        <v>8134</v>
      </c>
      <c r="V233" s="67">
        <v>231</v>
      </c>
      <c r="W233" s="63" t="s">
        <v>56</v>
      </c>
      <c r="X233" s="64" t="s">
        <v>1971</v>
      </c>
      <c r="Y233" s="64">
        <v>3314</v>
      </c>
    </row>
    <row r="234" spans="7:25" ht="26" x14ac:dyDescent="0.35">
      <c r="G234" s="67">
        <v>232</v>
      </c>
      <c r="H234" s="63" t="s">
        <v>2685</v>
      </c>
      <c r="I234" s="64" t="s">
        <v>544</v>
      </c>
      <c r="J234" s="64">
        <v>11177</v>
      </c>
      <c r="L234" s="40">
        <v>232</v>
      </c>
      <c r="M234" s="63" t="s">
        <v>2685</v>
      </c>
      <c r="N234" s="64" t="s">
        <v>1701</v>
      </c>
      <c r="O234" s="64">
        <v>11711</v>
      </c>
      <c r="Q234" s="40">
        <v>232</v>
      </c>
      <c r="R234" s="63" t="s">
        <v>56</v>
      </c>
      <c r="S234" s="64" t="s">
        <v>740</v>
      </c>
      <c r="T234" s="64">
        <v>378</v>
      </c>
      <c r="V234" s="67">
        <v>232</v>
      </c>
      <c r="W234" s="63" t="s">
        <v>56</v>
      </c>
      <c r="X234" s="64" t="s">
        <v>1972</v>
      </c>
      <c r="Y234" s="64">
        <v>3315</v>
      </c>
    </row>
    <row r="235" spans="7:25" ht="26" x14ac:dyDescent="0.35">
      <c r="G235" s="67">
        <v>233</v>
      </c>
      <c r="H235" s="63" t="s">
        <v>2685</v>
      </c>
      <c r="I235" s="64" t="s">
        <v>546</v>
      </c>
      <c r="J235" s="64">
        <v>10802</v>
      </c>
      <c r="L235" s="40">
        <v>233</v>
      </c>
      <c r="M235" s="63" t="s">
        <v>2685</v>
      </c>
      <c r="N235" s="64" t="s">
        <v>166</v>
      </c>
      <c r="O235" s="64">
        <v>11317</v>
      </c>
      <c r="Q235" s="40">
        <v>233</v>
      </c>
      <c r="R235" s="63" t="s">
        <v>56</v>
      </c>
      <c r="S235" s="64" t="s">
        <v>744</v>
      </c>
      <c r="T235" s="64">
        <v>3420</v>
      </c>
      <c r="V235" s="67">
        <v>233</v>
      </c>
      <c r="W235" s="63" t="s">
        <v>56</v>
      </c>
      <c r="X235" s="64" t="s">
        <v>1975</v>
      </c>
      <c r="Y235" s="64">
        <v>10103</v>
      </c>
    </row>
    <row r="236" spans="7:25" ht="26" x14ac:dyDescent="0.35">
      <c r="G236" s="67">
        <v>234</v>
      </c>
      <c r="H236" s="63" t="s">
        <v>2685</v>
      </c>
      <c r="I236" s="64" t="s">
        <v>1498</v>
      </c>
      <c r="J236" s="64">
        <v>11531</v>
      </c>
      <c r="L236" s="40">
        <v>234</v>
      </c>
      <c r="M236" s="63" t="s">
        <v>2685</v>
      </c>
      <c r="N236" s="64" t="s">
        <v>1700</v>
      </c>
      <c r="O236" s="64">
        <v>11710</v>
      </c>
      <c r="Q236" s="40">
        <v>234</v>
      </c>
      <c r="R236" s="63" t="s">
        <v>56</v>
      </c>
      <c r="S236" s="64" t="s">
        <v>746</v>
      </c>
      <c r="T236" s="64">
        <v>3421</v>
      </c>
      <c r="V236" s="67">
        <v>234</v>
      </c>
      <c r="W236" s="63" t="s">
        <v>56</v>
      </c>
      <c r="X236" s="64" t="s">
        <v>786</v>
      </c>
      <c r="Y236" s="64">
        <v>10402</v>
      </c>
    </row>
    <row r="237" spans="7:25" ht="26" x14ac:dyDescent="0.35">
      <c r="G237" s="67">
        <v>235</v>
      </c>
      <c r="H237" s="63" t="s">
        <v>2685</v>
      </c>
      <c r="I237" s="64" t="s">
        <v>55</v>
      </c>
      <c r="J237" s="64">
        <v>11309</v>
      </c>
      <c r="L237" s="40">
        <v>235</v>
      </c>
      <c r="M237" s="63" t="s">
        <v>2685</v>
      </c>
      <c r="N237" s="64" t="s">
        <v>2865</v>
      </c>
      <c r="O237" s="64">
        <v>11988</v>
      </c>
      <c r="Q237" s="40">
        <v>235</v>
      </c>
      <c r="R237" s="63" t="s">
        <v>56</v>
      </c>
      <c r="S237" s="64" t="s">
        <v>747</v>
      </c>
      <c r="T237" s="64">
        <v>2447</v>
      </c>
      <c r="V237" s="67">
        <v>235</v>
      </c>
      <c r="W237" s="63" t="s">
        <v>56</v>
      </c>
      <c r="X237" s="64" t="s">
        <v>1976</v>
      </c>
      <c r="Y237" s="64">
        <v>2765</v>
      </c>
    </row>
    <row r="238" spans="7:25" ht="26" x14ac:dyDescent="0.35">
      <c r="G238" s="67">
        <v>236</v>
      </c>
      <c r="H238" s="63" t="s">
        <v>2685</v>
      </c>
      <c r="I238" s="64" t="s">
        <v>548</v>
      </c>
      <c r="J238" s="64">
        <v>10803</v>
      </c>
      <c r="L238" s="40">
        <v>236</v>
      </c>
      <c r="M238" s="63" t="s">
        <v>2685</v>
      </c>
      <c r="N238" s="64" t="s">
        <v>2417</v>
      </c>
      <c r="O238" s="64">
        <v>11980</v>
      </c>
      <c r="Q238" s="40">
        <v>236</v>
      </c>
      <c r="R238" s="63" t="s">
        <v>56</v>
      </c>
      <c r="S238" s="64" t="s">
        <v>749</v>
      </c>
      <c r="T238" s="64">
        <v>2448</v>
      </c>
      <c r="V238" s="67">
        <v>236</v>
      </c>
      <c r="W238" s="63" t="s">
        <v>56</v>
      </c>
      <c r="X238" s="64" t="s">
        <v>1978</v>
      </c>
      <c r="Y238" s="64">
        <v>2766</v>
      </c>
    </row>
    <row r="239" spans="7:25" ht="26" x14ac:dyDescent="0.35">
      <c r="G239" s="67">
        <v>237</v>
      </c>
      <c r="H239" s="63" t="s">
        <v>2685</v>
      </c>
      <c r="I239" s="64" t="s">
        <v>550</v>
      </c>
      <c r="J239" s="64">
        <v>10804</v>
      </c>
      <c r="L239" s="40">
        <v>237</v>
      </c>
      <c r="M239" s="63" t="s">
        <v>2685</v>
      </c>
      <c r="N239" s="64" t="s">
        <v>169</v>
      </c>
      <c r="O239" s="64">
        <v>11233</v>
      </c>
      <c r="Q239" s="40">
        <v>237</v>
      </c>
      <c r="R239" s="63" t="s">
        <v>56</v>
      </c>
      <c r="S239" s="64" t="s">
        <v>753</v>
      </c>
      <c r="T239" s="64">
        <v>3424</v>
      </c>
      <c r="V239" s="67">
        <v>237</v>
      </c>
      <c r="W239" s="63" t="s">
        <v>56</v>
      </c>
      <c r="X239" s="64" t="s">
        <v>795</v>
      </c>
      <c r="Y239" s="64">
        <v>2767</v>
      </c>
    </row>
    <row r="240" spans="7:25" ht="26" x14ac:dyDescent="0.35">
      <c r="G240" s="67">
        <v>238</v>
      </c>
      <c r="H240" s="63" t="s">
        <v>2685</v>
      </c>
      <c r="I240" s="64" t="s">
        <v>552</v>
      </c>
      <c r="J240" s="64">
        <v>11179</v>
      </c>
      <c r="L240" s="40">
        <v>238</v>
      </c>
      <c r="M240" s="63" t="s">
        <v>2685</v>
      </c>
      <c r="N240" s="64" t="s">
        <v>1527</v>
      </c>
      <c r="O240" s="64">
        <v>11565</v>
      </c>
      <c r="Q240" s="40">
        <v>238</v>
      </c>
      <c r="R240" s="63" t="s">
        <v>56</v>
      </c>
      <c r="S240" s="64" t="s">
        <v>755</v>
      </c>
      <c r="T240" s="64">
        <v>8028</v>
      </c>
      <c r="V240" s="67">
        <v>238</v>
      </c>
      <c r="W240" s="63" t="s">
        <v>56</v>
      </c>
      <c r="X240" s="64" t="s">
        <v>1977</v>
      </c>
      <c r="Y240" s="64">
        <v>2768</v>
      </c>
    </row>
    <row r="241" spans="7:25" ht="26" x14ac:dyDescent="0.35">
      <c r="G241" s="67">
        <v>239</v>
      </c>
      <c r="H241" s="63" t="s">
        <v>2685</v>
      </c>
      <c r="I241" s="64" t="s">
        <v>554</v>
      </c>
      <c r="J241" s="64">
        <v>10805</v>
      </c>
      <c r="L241" s="40">
        <v>239</v>
      </c>
      <c r="M241" s="63" t="s">
        <v>2685</v>
      </c>
      <c r="N241" s="64" t="s">
        <v>1698</v>
      </c>
      <c r="O241" s="64">
        <v>11707</v>
      </c>
      <c r="Q241" s="40">
        <v>239</v>
      </c>
      <c r="R241" s="63" t="s">
        <v>56</v>
      </c>
      <c r="S241" s="64" t="s">
        <v>757</v>
      </c>
      <c r="T241" s="64">
        <v>10184</v>
      </c>
      <c r="V241" s="67">
        <v>239</v>
      </c>
      <c r="W241" s="63" t="s">
        <v>56</v>
      </c>
      <c r="X241" s="64" t="s">
        <v>1980</v>
      </c>
      <c r="Y241" s="64">
        <v>3317</v>
      </c>
    </row>
    <row r="242" spans="7:25" ht="26" x14ac:dyDescent="0.35">
      <c r="G242" s="67">
        <v>240</v>
      </c>
      <c r="H242" s="63" t="s">
        <v>2685</v>
      </c>
      <c r="I242" s="64" t="s">
        <v>1421</v>
      </c>
      <c r="J242" s="64">
        <v>11494</v>
      </c>
      <c r="L242" s="40">
        <v>240</v>
      </c>
      <c r="M242" s="63" t="s">
        <v>2685</v>
      </c>
      <c r="N242" s="64" t="s">
        <v>1355</v>
      </c>
      <c r="O242" s="64">
        <v>11421</v>
      </c>
      <c r="Q242" s="40">
        <v>240</v>
      </c>
      <c r="R242" s="63" t="s">
        <v>56</v>
      </c>
      <c r="S242" s="64" t="s">
        <v>759</v>
      </c>
      <c r="T242" s="64">
        <v>2443</v>
      </c>
      <c r="V242" s="67">
        <v>240</v>
      </c>
      <c r="W242" s="63" t="s">
        <v>56</v>
      </c>
      <c r="X242" s="64" t="s">
        <v>1974</v>
      </c>
      <c r="Y242" s="64">
        <v>2770</v>
      </c>
    </row>
    <row r="243" spans="7:25" ht="26" x14ac:dyDescent="0.35">
      <c r="G243" s="67">
        <v>241</v>
      </c>
      <c r="H243" s="63" t="s">
        <v>2685</v>
      </c>
      <c r="I243" s="64" t="s">
        <v>556</v>
      </c>
      <c r="J243" s="64">
        <v>10806</v>
      </c>
      <c r="L243" s="40">
        <v>241</v>
      </c>
      <c r="M243" s="63" t="s">
        <v>2685</v>
      </c>
      <c r="N243" s="64" t="s">
        <v>178</v>
      </c>
      <c r="O243" s="64">
        <v>11228</v>
      </c>
      <c r="Q243" s="40">
        <v>241</v>
      </c>
      <c r="R243" s="63" t="s">
        <v>56</v>
      </c>
      <c r="S243" s="64" t="s">
        <v>762</v>
      </c>
      <c r="T243" s="64">
        <v>8110</v>
      </c>
      <c r="V243" s="67">
        <v>241</v>
      </c>
      <c r="W243" s="63" t="s">
        <v>56</v>
      </c>
      <c r="X243" s="64" t="s">
        <v>1981</v>
      </c>
      <c r="Y243" s="64">
        <v>3318</v>
      </c>
    </row>
    <row r="244" spans="7:25" ht="26" x14ac:dyDescent="0.35">
      <c r="G244" s="67">
        <v>242</v>
      </c>
      <c r="H244" s="63" t="s">
        <v>2685</v>
      </c>
      <c r="I244" s="64" t="s">
        <v>559</v>
      </c>
      <c r="J244" s="64">
        <v>10807</v>
      </c>
      <c r="L244" s="40">
        <v>242</v>
      </c>
      <c r="M244" s="63" t="s">
        <v>2685</v>
      </c>
      <c r="N244" s="64" t="s">
        <v>1484</v>
      </c>
      <c r="O244" s="64">
        <v>11517</v>
      </c>
      <c r="Q244" s="40">
        <v>242</v>
      </c>
      <c r="R244" s="63" t="s">
        <v>56</v>
      </c>
      <c r="S244" s="64" t="s">
        <v>764</v>
      </c>
      <c r="T244" s="64">
        <v>10566</v>
      </c>
      <c r="V244" s="67">
        <v>242</v>
      </c>
      <c r="W244" s="63" t="s">
        <v>56</v>
      </c>
      <c r="X244" s="64" t="s">
        <v>1982</v>
      </c>
      <c r="Y244" s="64">
        <v>8166</v>
      </c>
    </row>
    <row r="245" spans="7:25" ht="26" x14ac:dyDescent="0.35">
      <c r="G245" s="67">
        <v>243</v>
      </c>
      <c r="H245" s="63" t="s">
        <v>2685</v>
      </c>
      <c r="I245" s="64" t="s">
        <v>561</v>
      </c>
      <c r="J245" s="64">
        <v>10808</v>
      </c>
      <c r="L245" s="40">
        <v>243</v>
      </c>
      <c r="M245" s="63" t="s">
        <v>2685</v>
      </c>
      <c r="N245" s="64" t="s">
        <v>1584</v>
      </c>
      <c r="O245" s="64">
        <v>11696</v>
      </c>
      <c r="Q245" s="40">
        <v>243</v>
      </c>
      <c r="R245" s="63" t="s">
        <v>56</v>
      </c>
      <c r="S245" s="64" t="s">
        <v>766</v>
      </c>
      <c r="T245" s="64">
        <v>8142</v>
      </c>
      <c r="V245" s="67">
        <v>243</v>
      </c>
      <c r="W245" s="63" t="s">
        <v>56</v>
      </c>
      <c r="X245" s="64" t="s">
        <v>1985</v>
      </c>
      <c r="Y245" s="64">
        <v>3322</v>
      </c>
    </row>
    <row r="246" spans="7:25" ht="26" x14ac:dyDescent="0.35">
      <c r="G246" s="67">
        <v>244</v>
      </c>
      <c r="H246" s="63" t="s">
        <v>2685</v>
      </c>
      <c r="I246" s="64" t="s">
        <v>1499</v>
      </c>
      <c r="J246" s="64">
        <v>11532</v>
      </c>
      <c r="L246" s="40">
        <v>244</v>
      </c>
      <c r="M246" s="63" t="s">
        <v>2685</v>
      </c>
      <c r="N246" s="64" t="s">
        <v>787</v>
      </c>
      <c r="O246" s="64">
        <v>10889</v>
      </c>
      <c r="Q246" s="40">
        <v>244</v>
      </c>
      <c r="R246" s="63" t="s">
        <v>56</v>
      </c>
      <c r="S246" s="64" t="s">
        <v>768</v>
      </c>
      <c r="T246" s="64">
        <v>10565</v>
      </c>
      <c r="V246" s="67">
        <v>244</v>
      </c>
      <c r="W246" s="63" t="s">
        <v>56</v>
      </c>
      <c r="X246" s="64" t="s">
        <v>1986</v>
      </c>
      <c r="Y246" s="64">
        <v>2774</v>
      </c>
    </row>
    <row r="247" spans="7:25" ht="26" x14ac:dyDescent="0.35">
      <c r="G247" s="67">
        <v>245</v>
      </c>
      <c r="H247" s="63" t="s">
        <v>2685</v>
      </c>
      <c r="I247" s="64" t="s">
        <v>563</v>
      </c>
      <c r="J247" s="64">
        <v>10809</v>
      </c>
      <c r="L247" s="40">
        <v>245</v>
      </c>
      <c r="M247" s="63" t="s">
        <v>2685</v>
      </c>
      <c r="N247" s="64" t="s">
        <v>182</v>
      </c>
      <c r="O247" s="64">
        <v>11200</v>
      </c>
      <c r="Q247" s="40">
        <v>245</v>
      </c>
      <c r="R247" s="63" t="s">
        <v>56</v>
      </c>
      <c r="S247" s="64" t="s">
        <v>770</v>
      </c>
      <c r="T247" s="64">
        <v>10222</v>
      </c>
      <c r="V247" s="67">
        <v>245</v>
      </c>
      <c r="W247" s="63" t="s">
        <v>56</v>
      </c>
      <c r="X247" s="64" t="s">
        <v>1987</v>
      </c>
      <c r="Y247" s="64">
        <v>10190</v>
      </c>
    </row>
    <row r="248" spans="7:25" ht="26" x14ac:dyDescent="0.35">
      <c r="G248" s="67">
        <v>246</v>
      </c>
      <c r="H248" s="63" t="s">
        <v>2685</v>
      </c>
      <c r="I248" s="64" t="s">
        <v>565</v>
      </c>
      <c r="J248" s="64">
        <v>10810</v>
      </c>
      <c r="L248" s="40">
        <v>246</v>
      </c>
      <c r="M248" s="63" t="s">
        <v>2685</v>
      </c>
      <c r="N248" s="64" t="s">
        <v>793</v>
      </c>
      <c r="O248" s="64">
        <v>10891</v>
      </c>
      <c r="Q248" s="40">
        <v>246</v>
      </c>
      <c r="R248" s="63" t="s">
        <v>56</v>
      </c>
      <c r="S248" s="64" t="s">
        <v>772</v>
      </c>
      <c r="T248" s="64">
        <v>8109</v>
      </c>
      <c r="V248" s="67">
        <v>246</v>
      </c>
      <c r="W248" s="63" t="s">
        <v>56</v>
      </c>
      <c r="X248" s="64" t="s">
        <v>1988</v>
      </c>
      <c r="Y248" s="64">
        <v>3323</v>
      </c>
    </row>
    <row r="249" spans="7:25" ht="26" x14ac:dyDescent="0.35">
      <c r="G249" s="67">
        <v>247</v>
      </c>
      <c r="H249" s="63" t="s">
        <v>2685</v>
      </c>
      <c r="I249" s="80" t="s">
        <v>2977</v>
      </c>
      <c r="J249" s="75">
        <v>12065</v>
      </c>
      <c r="L249" s="40">
        <v>247</v>
      </c>
      <c r="M249" s="63" t="s">
        <v>2685</v>
      </c>
      <c r="N249" s="64" t="s">
        <v>1356</v>
      </c>
      <c r="O249" s="64">
        <v>11422</v>
      </c>
      <c r="Q249" s="40">
        <v>247</v>
      </c>
      <c r="R249" s="63" t="s">
        <v>56</v>
      </c>
      <c r="S249" s="64" t="s">
        <v>776</v>
      </c>
      <c r="T249" s="64">
        <v>10186</v>
      </c>
      <c r="V249" s="67">
        <v>247</v>
      </c>
      <c r="W249" s="63" t="s">
        <v>56</v>
      </c>
      <c r="X249" s="64" t="s">
        <v>2074</v>
      </c>
      <c r="Y249" s="64">
        <v>10323</v>
      </c>
    </row>
    <row r="250" spans="7:25" ht="26" x14ac:dyDescent="0.35">
      <c r="G250" s="67">
        <v>248</v>
      </c>
      <c r="H250" s="63" t="s">
        <v>2685</v>
      </c>
      <c r="I250" s="64" t="s">
        <v>570</v>
      </c>
      <c r="J250" s="64">
        <v>10811</v>
      </c>
      <c r="L250" s="40">
        <v>248</v>
      </c>
      <c r="M250" s="63" t="s">
        <v>2685</v>
      </c>
      <c r="N250" s="64" t="s">
        <v>2626</v>
      </c>
      <c r="O250" s="64">
        <v>11788</v>
      </c>
      <c r="Q250" s="40">
        <v>248</v>
      </c>
      <c r="R250" s="63" t="s">
        <v>56</v>
      </c>
      <c r="S250" s="64" t="s">
        <v>778</v>
      </c>
      <c r="T250" s="64">
        <v>8127</v>
      </c>
      <c r="V250" s="67">
        <v>248</v>
      </c>
      <c r="W250" s="63" t="s">
        <v>56</v>
      </c>
      <c r="X250" s="64" t="s">
        <v>1989</v>
      </c>
      <c r="Y250" s="64">
        <v>10340</v>
      </c>
    </row>
    <row r="251" spans="7:25" ht="26" x14ac:dyDescent="0.35">
      <c r="G251" s="67">
        <v>249</v>
      </c>
      <c r="H251" s="63" t="s">
        <v>2685</v>
      </c>
      <c r="I251" s="64" t="s">
        <v>1500</v>
      </c>
      <c r="J251" s="64">
        <v>11533</v>
      </c>
      <c r="L251" s="40">
        <v>249</v>
      </c>
      <c r="M251" s="63" t="s">
        <v>2685</v>
      </c>
      <c r="N251" s="64" t="s">
        <v>1487</v>
      </c>
      <c r="O251" s="64">
        <v>11521</v>
      </c>
      <c r="Q251" s="40">
        <v>249</v>
      </c>
      <c r="R251" s="63" t="s">
        <v>56</v>
      </c>
      <c r="S251" s="64" t="s">
        <v>781</v>
      </c>
      <c r="T251" s="64">
        <v>8032</v>
      </c>
      <c r="V251" s="67">
        <v>249</v>
      </c>
      <c r="W251" s="63" t="s">
        <v>56</v>
      </c>
      <c r="X251" s="64" t="s">
        <v>1990</v>
      </c>
      <c r="Y251" s="64">
        <v>3324</v>
      </c>
    </row>
    <row r="252" spans="7:25" ht="26" x14ac:dyDescent="0.35">
      <c r="G252" s="67">
        <v>250</v>
      </c>
      <c r="H252" s="63" t="s">
        <v>2685</v>
      </c>
      <c r="I252" s="64" t="s">
        <v>572</v>
      </c>
      <c r="J252" s="64">
        <v>10812</v>
      </c>
      <c r="L252" s="40">
        <v>250</v>
      </c>
      <c r="M252" s="63" t="s">
        <v>2685</v>
      </c>
      <c r="N252" s="64" t="s">
        <v>186</v>
      </c>
      <c r="O252" s="64">
        <v>11201</v>
      </c>
      <c r="Q252" s="40">
        <v>250</v>
      </c>
      <c r="R252" s="63" t="s">
        <v>56</v>
      </c>
      <c r="S252" s="64" t="s">
        <v>783</v>
      </c>
      <c r="T252" s="64">
        <v>2465</v>
      </c>
      <c r="V252" s="67">
        <v>250</v>
      </c>
      <c r="W252" s="63" t="s">
        <v>56</v>
      </c>
      <c r="X252" s="64" t="s">
        <v>1991</v>
      </c>
      <c r="Y252" s="64">
        <v>3327</v>
      </c>
    </row>
    <row r="253" spans="7:25" ht="26" x14ac:dyDescent="0.35">
      <c r="G253" s="67">
        <v>251</v>
      </c>
      <c r="H253" s="63" t="s">
        <v>2685</v>
      </c>
      <c r="I253" s="64" t="s">
        <v>2753</v>
      </c>
      <c r="J253" s="64">
        <v>11869</v>
      </c>
      <c r="L253" s="40">
        <v>251</v>
      </c>
      <c r="M253" s="63" t="s">
        <v>2685</v>
      </c>
      <c r="N253" s="64" t="s">
        <v>2632</v>
      </c>
      <c r="O253" s="64">
        <v>11794</v>
      </c>
      <c r="Q253" s="40">
        <v>251</v>
      </c>
      <c r="R253" s="63" t="s">
        <v>56</v>
      </c>
      <c r="S253" s="64" t="s">
        <v>785</v>
      </c>
      <c r="T253" s="64">
        <v>2437</v>
      </c>
      <c r="V253" s="67">
        <v>251</v>
      </c>
      <c r="W253" s="63" t="s">
        <v>56</v>
      </c>
      <c r="X253" s="64" t="s">
        <v>836</v>
      </c>
      <c r="Y253" s="64">
        <v>2243</v>
      </c>
    </row>
    <row r="254" spans="7:25" ht="26" x14ac:dyDescent="0.35">
      <c r="G254" s="67">
        <v>252</v>
      </c>
      <c r="H254" s="63" t="s">
        <v>2685</v>
      </c>
      <c r="I254" s="64" t="s">
        <v>574</v>
      </c>
      <c r="J254" s="64">
        <v>10813</v>
      </c>
      <c r="L254" s="40">
        <v>252</v>
      </c>
      <c r="M254" s="63" t="s">
        <v>2685</v>
      </c>
      <c r="N254" s="64" t="s">
        <v>2746</v>
      </c>
      <c r="O254" s="64">
        <v>11863</v>
      </c>
      <c r="Q254" s="40">
        <v>252</v>
      </c>
      <c r="R254" s="63" t="s">
        <v>56</v>
      </c>
      <c r="S254" s="64" t="s">
        <v>788</v>
      </c>
      <c r="T254" s="64">
        <v>2467</v>
      </c>
      <c r="V254" s="67">
        <v>252</v>
      </c>
      <c r="W254" s="63" t="s">
        <v>56</v>
      </c>
      <c r="X254" s="64" t="s">
        <v>469</v>
      </c>
      <c r="Y254" s="64">
        <v>10033</v>
      </c>
    </row>
    <row r="255" spans="7:25" ht="26" x14ac:dyDescent="0.35">
      <c r="G255" s="67">
        <v>253</v>
      </c>
      <c r="H255" s="63" t="s">
        <v>2685</v>
      </c>
      <c r="I255" s="64" t="s">
        <v>576</v>
      </c>
      <c r="J255" s="64">
        <v>11342</v>
      </c>
      <c r="L255" s="40">
        <v>253</v>
      </c>
      <c r="M255" s="63" t="s">
        <v>2685</v>
      </c>
      <c r="N255" s="64" t="s">
        <v>189</v>
      </c>
      <c r="O255" s="64">
        <v>11202</v>
      </c>
      <c r="Q255" s="40">
        <v>253</v>
      </c>
      <c r="R255" s="63" t="s">
        <v>56</v>
      </c>
      <c r="S255" s="64" t="s">
        <v>790</v>
      </c>
      <c r="T255" s="64">
        <v>10083</v>
      </c>
      <c r="V255" s="67">
        <v>253</v>
      </c>
      <c r="W255" s="63" t="s">
        <v>56</v>
      </c>
      <c r="X255" s="64" t="s">
        <v>2115</v>
      </c>
      <c r="Y255" s="64">
        <v>3336</v>
      </c>
    </row>
    <row r="256" spans="7:25" ht="26" x14ac:dyDescent="0.35">
      <c r="G256" s="67">
        <v>254</v>
      </c>
      <c r="H256" s="63" t="s">
        <v>2685</v>
      </c>
      <c r="I256" s="64" t="s">
        <v>1474</v>
      </c>
      <c r="J256" s="64">
        <v>11507</v>
      </c>
      <c r="L256" s="40">
        <v>254</v>
      </c>
      <c r="M256" s="63" t="s">
        <v>2685</v>
      </c>
      <c r="N256" s="64" t="s">
        <v>2745</v>
      </c>
      <c r="O256" s="64">
        <v>11862</v>
      </c>
      <c r="Q256" s="40">
        <v>254</v>
      </c>
      <c r="R256" s="63" t="s">
        <v>56</v>
      </c>
      <c r="S256" s="64" t="s">
        <v>794</v>
      </c>
      <c r="T256" s="64">
        <v>109</v>
      </c>
      <c r="V256" s="67">
        <v>254</v>
      </c>
      <c r="W256" s="63" t="s">
        <v>56</v>
      </c>
      <c r="X256" s="64" t="s">
        <v>1993</v>
      </c>
      <c r="Y256" s="64">
        <v>3328</v>
      </c>
    </row>
    <row r="257" spans="7:25" ht="26" x14ac:dyDescent="0.35">
      <c r="G257" s="67">
        <v>255</v>
      </c>
      <c r="H257" s="63" t="s">
        <v>2685</v>
      </c>
      <c r="I257" s="64" t="s">
        <v>1475</v>
      </c>
      <c r="J257" s="64">
        <v>11508</v>
      </c>
      <c r="L257" s="40">
        <v>255</v>
      </c>
      <c r="M257" s="63" t="s">
        <v>2685</v>
      </c>
      <c r="N257" s="64" t="s">
        <v>1697</v>
      </c>
      <c r="O257" s="64">
        <v>11706</v>
      </c>
      <c r="Q257" s="40">
        <v>255</v>
      </c>
      <c r="R257" s="63" t="s">
        <v>56</v>
      </c>
      <c r="S257" s="64" t="s">
        <v>797</v>
      </c>
      <c r="T257" s="64">
        <v>10030</v>
      </c>
      <c r="V257" s="67">
        <v>255</v>
      </c>
      <c r="W257" s="63" t="s">
        <v>56</v>
      </c>
      <c r="X257" s="64" t="s">
        <v>1994</v>
      </c>
      <c r="Y257" s="64">
        <v>3591</v>
      </c>
    </row>
    <row r="258" spans="7:25" ht="26" x14ac:dyDescent="0.35">
      <c r="G258" s="67">
        <v>256</v>
      </c>
      <c r="H258" s="63" t="s">
        <v>2685</v>
      </c>
      <c r="I258" s="64" t="s">
        <v>1501</v>
      </c>
      <c r="J258" s="64">
        <v>11534</v>
      </c>
      <c r="L258" s="40">
        <v>256</v>
      </c>
      <c r="M258" s="63" t="s">
        <v>2685</v>
      </c>
      <c r="N258" s="64" t="s">
        <v>1466</v>
      </c>
      <c r="O258" s="64">
        <v>11486</v>
      </c>
      <c r="Q258" s="40">
        <v>256</v>
      </c>
      <c r="R258" s="63" t="s">
        <v>56</v>
      </c>
      <c r="S258" s="64" t="s">
        <v>799</v>
      </c>
      <c r="T258" s="64">
        <v>8037</v>
      </c>
      <c r="V258" s="67">
        <v>256</v>
      </c>
      <c r="W258" s="63" t="s">
        <v>56</v>
      </c>
      <c r="X258" s="64" t="s">
        <v>2000</v>
      </c>
      <c r="Y258" s="64">
        <v>3331</v>
      </c>
    </row>
    <row r="259" spans="7:25" ht="26" x14ac:dyDescent="0.35">
      <c r="G259" s="67">
        <v>257</v>
      </c>
      <c r="H259" s="63" t="s">
        <v>2685</v>
      </c>
      <c r="I259" s="64" t="s">
        <v>580</v>
      </c>
      <c r="J259" s="64">
        <v>10815</v>
      </c>
      <c r="L259" s="40">
        <v>257</v>
      </c>
      <c r="M259" s="63" t="s">
        <v>2685</v>
      </c>
      <c r="N259" s="64" t="s">
        <v>2623</v>
      </c>
      <c r="O259" s="64">
        <v>11812</v>
      </c>
      <c r="Q259" s="40">
        <v>257</v>
      </c>
      <c r="R259" s="63" t="s">
        <v>56</v>
      </c>
      <c r="S259" s="64" t="s">
        <v>801</v>
      </c>
      <c r="T259" s="64">
        <v>2474</v>
      </c>
      <c r="V259" s="67">
        <v>257</v>
      </c>
      <c r="W259" s="63" t="s">
        <v>56</v>
      </c>
      <c r="X259" s="64" t="s">
        <v>1996</v>
      </c>
      <c r="Y259" s="64">
        <v>2777</v>
      </c>
    </row>
    <row r="260" spans="7:25" ht="26" x14ac:dyDescent="0.35">
      <c r="G260" s="67">
        <v>258</v>
      </c>
      <c r="H260" s="63" t="s">
        <v>2685</v>
      </c>
      <c r="I260" s="64" t="s">
        <v>582</v>
      </c>
      <c r="J260" s="64">
        <v>11346</v>
      </c>
      <c r="L260" s="40">
        <v>258</v>
      </c>
      <c r="M260" s="63" t="s">
        <v>2685</v>
      </c>
      <c r="N260" s="64" t="s">
        <v>192</v>
      </c>
      <c r="O260" s="64">
        <v>11313</v>
      </c>
      <c r="Q260" s="40">
        <v>258</v>
      </c>
      <c r="R260" s="63" t="s">
        <v>56</v>
      </c>
      <c r="S260" s="64" t="s">
        <v>803</v>
      </c>
      <c r="T260" s="64">
        <v>8075</v>
      </c>
      <c r="V260" s="67">
        <v>258</v>
      </c>
      <c r="W260" s="63" t="s">
        <v>56</v>
      </c>
      <c r="X260" s="64" t="s">
        <v>2529</v>
      </c>
      <c r="Y260" s="64">
        <v>3329</v>
      </c>
    </row>
    <row r="261" spans="7:25" ht="26" x14ac:dyDescent="0.35">
      <c r="G261" s="67">
        <v>259</v>
      </c>
      <c r="H261" s="63" t="s">
        <v>2685</v>
      </c>
      <c r="I261" s="64" t="s">
        <v>584</v>
      </c>
      <c r="J261" s="64">
        <v>10816</v>
      </c>
      <c r="L261" s="40">
        <v>259</v>
      </c>
      <c r="M261" s="63" t="s">
        <v>2685</v>
      </c>
      <c r="N261" s="64" t="s">
        <v>2696</v>
      </c>
      <c r="O261" s="64">
        <v>11122</v>
      </c>
      <c r="Q261" s="40">
        <v>259</v>
      </c>
      <c r="R261" s="63" t="s">
        <v>56</v>
      </c>
      <c r="S261" s="64" t="s">
        <v>805</v>
      </c>
      <c r="T261" s="64">
        <v>8145</v>
      </c>
      <c r="V261" s="67">
        <v>259</v>
      </c>
      <c r="W261" s="63" t="s">
        <v>56</v>
      </c>
      <c r="X261" s="64" t="s">
        <v>1997</v>
      </c>
      <c r="Y261" s="64">
        <v>3330</v>
      </c>
    </row>
    <row r="262" spans="7:25" ht="26" x14ac:dyDescent="0.3">
      <c r="G262" s="67">
        <v>260</v>
      </c>
      <c r="H262" s="63" t="s">
        <v>2685</v>
      </c>
      <c r="I262" s="64" t="s">
        <v>586</v>
      </c>
      <c r="J262" s="64">
        <v>11351</v>
      </c>
      <c r="L262" s="40">
        <v>260</v>
      </c>
      <c r="M262" s="63" t="s">
        <v>2685</v>
      </c>
      <c r="N262" s="64" t="s">
        <v>874</v>
      </c>
      <c r="O262" s="64">
        <v>11522</v>
      </c>
      <c r="Q262" s="40">
        <v>260</v>
      </c>
      <c r="R262" s="63" t="s">
        <v>56</v>
      </c>
      <c r="S262" s="64" t="s">
        <v>807</v>
      </c>
      <c r="T262" s="64">
        <v>2482</v>
      </c>
      <c r="V262" s="67">
        <v>260</v>
      </c>
      <c r="W262" s="63" t="s">
        <v>56</v>
      </c>
      <c r="X262" s="79" t="s">
        <v>1998</v>
      </c>
      <c r="Y262" s="64">
        <v>8337</v>
      </c>
    </row>
    <row r="263" spans="7:25" ht="26" x14ac:dyDescent="0.35">
      <c r="G263" s="67">
        <v>261</v>
      </c>
      <c r="H263" s="63" t="s">
        <v>2685</v>
      </c>
      <c r="I263" s="64" t="s">
        <v>588</v>
      </c>
      <c r="J263" s="64">
        <v>11350</v>
      </c>
      <c r="L263" s="40">
        <v>261</v>
      </c>
      <c r="M263" s="63" t="s">
        <v>2685</v>
      </c>
      <c r="N263" s="64" t="s">
        <v>1585</v>
      </c>
      <c r="O263" s="64">
        <v>11697</v>
      </c>
      <c r="Q263" s="40">
        <v>261</v>
      </c>
      <c r="R263" s="63" t="s">
        <v>56</v>
      </c>
      <c r="S263" s="64" t="s">
        <v>809</v>
      </c>
      <c r="T263" s="64">
        <v>8136</v>
      </c>
      <c r="V263" s="67">
        <v>261</v>
      </c>
      <c r="W263" s="63" t="s">
        <v>56</v>
      </c>
      <c r="X263" s="64" t="s">
        <v>1999</v>
      </c>
      <c r="Y263" s="64">
        <v>10104</v>
      </c>
    </row>
    <row r="264" spans="7:25" ht="26" x14ac:dyDescent="0.35">
      <c r="G264" s="67">
        <v>262</v>
      </c>
      <c r="H264" s="63" t="s">
        <v>2685</v>
      </c>
      <c r="I264" s="64" t="s">
        <v>590</v>
      </c>
      <c r="J264" s="64">
        <v>10817</v>
      </c>
      <c r="L264" s="40">
        <v>262</v>
      </c>
      <c r="M264" s="63" t="s">
        <v>2685</v>
      </c>
      <c r="N264" s="64" t="s">
        <v>2863</v>
      </c>
      <c r="O264" s="64">
        <v>11984</v>
      </c>
      <c r="Q264" s="40">
        <v>262</v>
      </c>
      <c r="R264" s="63" t="s">
        <v>56</v>
      </c>
      <c r="S264" s="64" t="s">
        <v>811</v>
      </c>
      <c r="T264" s="64">
        <v>2480</v>
      </c>
      <c r="V264" s="67">
        <v>262</v>
      </c>
      <c r="W264" s="63" t="s">
        <v>56</v>
      </c>
      <c r="X264" s="64" t="s">
        <v>2001</v>
      </c>
      <c r="Y264" s="64">
        <v>2248</v>
      </c>
    </row>
    <row r="265" spans="7:25" ht="26" x14ac:dyDescent="0.35">
      <c r="G265" s="67">
        <v>263</v>
      </c>
      <c r="H265" s="63" t="s">
        <v>2685</v>
      </c>
      <c r="I265" s="64" t="s">
        <v>592</v>
      </c>
      <c r="J265" s="64">
        <v>10818</v>
      </c>
      <c r="L265" s="40">
        <v>263</v>
      </c>
      <c r="M265" s="63" t="s">
        <v>2685</v>
      </c>
      <c r="N265" s="64" t="s">
        <v>1479</v>
      </c>
      <c r="O265" s="64">
        <v>11512</v>
      </c>
      <c r="Q265" s="40">
        <v>263</v>
      </c>
      <c r="R265" s="63" t="s">
        <v>56</v>
      </c>
      <c r="S265" s="64" t="s">
        <v>813</v>
      </c>
      <c r="T265" s="64">
        <v>10569</v>
      </c>
      <c r="V265" s="67">
        <v>263</v>
      </c>
      <c r="W265" s="63" t="s">
        <v>56</v>
      </c>
      <c r="X265" s="64" t="s">
        <v>2002</v>
      </c>
      <c r="Y265" s="64">
        <v>2778</v>
      </c>
    </row>
    <row r="266" spans="7:25" ht="26" x14ac:dyDescent="0.35">
      <c r="G266" s="67">
        <v>264</v>
      </c>
      <c r="H266" s="63" t="s">
        <v>2685</v>
      </c>
      <c r="I266" s="64" t="s">
        <v>594</v>
      </c>
      <c r="J266" s="64">
        <v>10819</v>
      </c>
      <c r="L266" s="40">
        <v>264</v>
      </c>
      <c r="M266" s="63" t="s">
        <v>2685</v>
      </c>
      <c r="N266" s="64" t="s">
        <v>206</v>
      </c>
      <c r="O266" s="64">
        <v>11219</v>
      </c>
      <c r="Q266" s="40">
        <v>264</v>
      </c>
      <c r="R266" s="63" t="s">
        <v>56</v>
      </c>
      <c r="S266" s="64" t="s">
        <v>817</v>
      </c>
      <c r="T266" s="64">
        <v>8151</v>
      </c>
      <c r="V266" s="67">
        <v>264</v>
      </c>
      <c r="W266" s="63" t="s">
        <v>56</v>
      </c>
      <c r="X266" s="64" t="s">
        <v>2107</v>
      </c>
      <c r="Y266" s="64">
        <v>2249</v>
      </c>
    </row>
    <row r="267" spans="7:25" ht="26" x14ac:dyDescent="0.35">
      <c r="G267" s="67">
        <v>265</v>
      </c>
      <c r="H267" s="63" t="s">
        <v>2685</v>
      </c>
      <c r="I267" s="64" t="s">
        <v>596</v>
      </c>
      <c r="J267" s="64">
        <v>10820</v>
      </c>
      <c r="L267" s="40">
        <v>265</v>
      </c>
      <c r="M267" s="63" t="s">
        <v>2685</v>
      </c>
      <c r="N267" s="64" t="s">
        <v>1708</v>
      </c>
      <c r="O267" s="64">
        <v>11719</v>
      </c>
      <c r="Q267" s="40">
        <v>265</v>
      </c>
      <c r="R267" s="63" t="s">
        <v>56</v>
      </c>
      <c r="S267" s="64" t="s">
        <v>821</v>
      </c>
      <c r="T267" s="64">
        <v>2489</v>
      </c>
      <c r="V267" s="67">
        <v>265</v>
      </c>
      <c r="W267" s="63" t="s">
        <v>56</v>
      </c>
      <c r="X267" s="64" t="s">
        <v>2108</v>
      </c>
      <c r="Y267" s="64">
        <v>10599</v>
      </c>
    </row>
    <row r="268" spans="7:25" ht="26" x14ac:dyDescent="0.35">
      <c r="G268" s="67">
        <v>266</v>
      </c>
      <c r="H268" s="63" t="s">
        <v>2685</v>
      </c>
      <c r="I268" s="64" t="s">
        <v>2754</v>
      </c>
      <c r="J268" s="64">
        <v>11870</v>
      </c>
      <c r="L268" s="40">
        <v>266</v>
      </c>
      <c r="M268" s="63" t="s">
        <v>2685</v>
      </c>
      <c r="N268" s="64" t="s">
        <v>2860</v>
      </c>
      <c r="O268" s="64">
        <v>11979</v>
      </c>
      <c r="Q268" s="40">
        <v>266</v>
      </c>
      <c r="R268" s="63" t="s">
        <v>56</v>
      </c>
      <c r="S268" s="64" t="s">
        <v>823</v>
      </c>
      <c r="T268" s="64">
        <v>2528</v>
      </c>
      <c r="V268" s="67">
        <v>266</v>
      </c>
      <c r="W268" s="63" t="s">
        <v>56</v>
      </c>
      <c r="X268" s="64" t="s">
        <v>2109</v>
      </c>
      <c r="Y268" s="64">
        <v>2780</v>
      </c>
    </row>
    <row r="269" spans="7:25" ht="26" x14ac:dyDescent="0.35">
      <c r="G269" s="67">
        <v>267</v>
      </c>
      <c r="H269" s="63" t="s">
        <v>2685</v>
      </c>
      <c r="I269" s="64" t="s">
        <v>2761</v>
      </c>
      <c r="J269" s="64">
        <v>11871</v>
      </c>
      <c r="L269" s="40">
        <v>267</v>
      </c>
      <c r="M269" s="63" t="s">
        <v>2685</v>
      </c>
      <c r="N269" s="64" t="s">
        <v>215</v>
      </c>
      <c r="O269" s="64">
        <v>11321</v>
      </c>
      <c r="Q269" s="40">
        <v>267</v>
      </c>
      <c r="R269" s="63" t="s">
        <v>56</v>
      </c>
      <c r="S269" s="64" t="s">
        <v>826</v>
      </c>
      <c r="T269" s="64">
        <v>10117</v>
      </c>
      <c r="V269" s="67">
        <v>267</v>
      </c>
      <c r="W269" s="63" t="s">
        <v>56</v>
      </c>
      <c r="X269" s="64" t="s">
        <v>2110</v>
      </c>
      <c r="Y269" s="64">
        <v>2250</v>
      </c>
    </row>
    <row r="270" spans="7:25" ht="26" x14ac:dyDescent="0.35">
      <c r="G270" s="67">
        <v>268</v>
      </c>
      <c r="H270" s="63" t="s">
        <v>2685</v>
      </c>
      <c r="I270" s="64" t="s">
        <v>2760</v>
      </c>
      <c r="J270" s="64">
        <v>11868</v>
      </c>
      <c r="L270" s="40">
        <v>268</v>
      </c>
      <c r="M270" s="63" t="s">
        <v>2685</v>
      </c>
      <c r="N270" s="64" t="s">
        <v>832</v>
      </c>
      <c r="O270" s="64">
        <v>10903</v>
      </c>
      <c r="Q270" s="40">
        <v>268</v>
      </c>
      <c r="R270" s="63" t="s">
        <v>56</v>
      </c>
      <c r="S270" s="64" t="s">
        <v>827</v>
      </c>
      <c r="T270" s="64">
        <v>3456</v>
      </c>
      <c r="V270" s="67">
        <v>268</v>
      </c>
      <c r="W270" s="63" t="s">
        <v>56</v>
      </c>
      <c r="X270" s="64" t="s">
        <v>2329</v>
      </c>
      <c r="Y270" s="64">
        <v>3040</v>
      </c>
    </row>
    <row r="271" spans="7:25" ht="26" x14ac:dyDescent="0.35">
      <c r="G271" s="67">
        <v>269</v>
      </c>
      <c r="H271" s="63" t="s">
        <v>2685</v>
      </c>
      <c r="I271" s="64" t="s">
        <v>1464</v>
      </c>
      <c r="J271" s="64">
        <v>11484</v>
      </c>
      <c r="L271" s="40">
        <v>269</v>
      </c>
      <c r="M271" s="63" t="s">
        <v>2685</v>
      </c>
      <c r="N271" s="64" t="s">
        <v>2085</v>
      </c>
      <c r="O271" s="64">
        <v>11986</v>
      </c>
      <c r="Q271" s="40">
        <v>269</v>
      </c>
      <c r="R271" s="63" t="s">
        <v>56</v>
      </c>
      <c r="S271" s="64" t="s">
        <v>829</v>
      </c>
      <c r="T271" s="64">
        <v>8085</v>
      </c>
      <c r="V271" s="67">
        <v>269</v>
      </c>
      <c r="W271" s="63" t="s">
        <v>56</v>
      </c>
      <c r="X271" s="64" t="s">
        <v>2242</v>
      </c>
      <c r="Y271" s="64">
        <v>8344</v>
      </c>
    </row>
    <row r="272" spans="7:25" ht="26" x14ac:dyDescent="0.35">
      <c r="G272" s="67">
        <v>270</v>
      </c>
      <c r="H272" s="63" t="s">
        <v>2685</v>
      </c>
      <c r="I272" s="64" t="s">
        <v>1463</v>
      </c>
      <c r="J272" s="64">
        <v>11483</v>
      </c>
      <c r="L272" s="40">
        <v>270</v>
      </c>
      <c r="M272" s="63" t="s">
        <v>2685</v>
      </c>
      <c r="N272" s="64" t="s">
        <v>1359</v>
      </c>
      <c r="O272" s="64">
        <v>11423</v>
      </c>
      <c r="Q272" s="40">
        <v>270</v>
      </c>
      <c r="R272" s="63" t="s">
        <v>56</v>
      </c>
      <c r="S272" s="64" t="s">
        <v>831</v>
      </c>
      <c r="T272" s="64">
        <v>2493</v>
      </c>
      <c r="V272" s="67">
        <v>270</v>
      </c>
      <c r="W272" s="63" t="s">
        <v>56</v>
      </c>
      <c r="X272" s="64" t="s">
        <v>2112</v>
      </c>
      <c r="Y272" s="64">
        <v>8338</v>
      </c>
    </row>
    <row r="273" spans="7:25" ht="26" x14ac:dyDescent="0.35">
      <c r="G273" s="67">
        <v>271</v>
      </c>
      <c r="H273" s="63" t="s">
        <v>2685</v>
      </c>
      <c r="I273" s="64" t="s">
        <v>601</v>
      </c>
      <c r="J273" s="64">
        <v>11181</v>
      </c>
      <c r="L273" s="40">
        <v>271</v>
      </c>
      <c r="M273" s="63" t="s">
        <v>2685</v>
      </c>
      <c r="N273" s="64" t="s">
        <v>1350</v>
      </c>
      <c r="O273" s="64">
        <v>11424</v>
      </c>
      <c r="Q273" s="40">
        <v>271</v>
      </c>
      <c r="R273" s="63" t="s">
        <v>56</v>
      </c>
      <c r="S273" s="64" t="s">
        <v>833</v>
      </c>
      <c r="T273" s="64">
        <v>2494</v>
      </c>
      <c r="V273" s="67">
        <v>271</v>
      </c>
      <c r="W273" s="63" t="s">
        <v>56</v>
      </c>
      <c r="X273" s="64" t="s">
        <v>2113</v>
      </c>
      <c r="Y273" s="64">
        <v>8333</v>
      </c>
    </row>
    <row r="274" spans="7:25" ht="26" x14ac:dyDescent="0.35">
      <c r="G274" s="67">
        <v>272</v>
      </c>
      <c r="H274" s="63" t="s">
        <v>2685</v>
      </c>
      <c r="I274" s="64" t="s">
        <v>603</v>
      </c>
      <c r="J274" s="64">
        <v>10821</v>
      </c>
      <c r="L274" s="40">
        <v>272</v>
      </c>
      <c r="M274" s="63" t="s">
        <v>2685</v>
      </c>
      <c r="N274" s="64" t="s">
        <v>1354</v>
      </c>
      <c r="O274" s="64">
        <v>11425</v>
      </c>
      <c r="Q274" s="40">
        <v>272</v>
      </c>
      <c r="R274" s="63" t="s">
        <v>56</v>
      </c>
      <c r="S274" s="64" t="s">
        <v>835</v>
      </c>
      <c r="T274" s="64">
        <v>2496</v>
      </c>
      <c r="V274" s="67">
        <v>272</v>
      </c>
      <c r="W274" s="63" t="s">
        <v>56</v>
      </c>
      <c r="X274" s="64" t="s">
        <v>2114</v>
      </c>
      <c r="Y274" s="64">
        <v>10119</v>
      </c>
    </row>
    <row r="275" spans="7:25" ht="26" x14ac:dyDescent="0.35">
      <c r="G275" s="67">
        <v>273</v>
      </c>
      <c r="H275" s="63" t="s">
        <v>2685</v>
      </c>
      <c r="I275" s="64" t="s">
        <v>605</v>
      </c>
      <c r="J275" s="64">
        <v>11244</v>
      </c>
      <c r="L275" s="40">
        <v>273</v>
      </c>
      <c r="M275" s="63" t="s">
        <v>2685</v>
      </c>
      <c r="N275" s="64" t="s">
        <v>1351</v>
      </c>
      <c r="O275" s="64">
        <v>11426</v>
      </c>
      <c r="Q275" s="40">
        <v>273</v>
      </c>
      <c r="R275" s="63" t="s">
        <v>56</v>
      </c>
      <c r="S275" s="64" t="s">
        <v>838</v>
      </c>
      <c r="T275" s="64">
        <v>8036</v>
      </c>
      <c r="V275" s="67">
        <v>273</v>
      </c>
      <c r="W275" s="63" t="s">
        <v>56</v>
      </c>
      <c r="X275" s="64" t="s">
        <v>2116</v>
      </c>
      <c r="Y275" s="64">
        <v>2783</v>
      </c>
    </row>
    <row r="276" spans="7:25" ht="26" x14ac:dyDescent="0.35">
      <c r="G276" s="67">
        <v>274</v>
      </c>
      <c r="H276" s="63" t="s">
        <v>2685</v>
      </c>
      <c r="I276" s="64" t="s">
        <v>610</v>
      </c>
      <c r="J276" s="64">
        <v>10823</v>
      </c>
      <c r="L276" s="40">
        <v>274</v>
      </c>
      <c r="M276" s="63" t="s">
        <v>2685</v>
      </c>
      <c r="N276" s="64" t="s">
        <v>1352</v>
      </c>
      <c r="O276" s="64">
        <v>11427</v>
      </c>
      <c r="Q276" s="40">
        <v>274</v>
      </c>
      <c r="R276" s="63" t="s">
        <v>56</v>
      </c>
      <c r="S276" s="64" t="s">
        <v>839</v>
      </c>
      <c r="T276" s="64">
        <v>10540</v>
      </c>
      <c r="V276" s="67">
        <v>274</v>
      </c>
      <c r="W276" s="63" t="s">
        <v>56</v>
      </c>
      <c r="X276" s="64" t="s">
        <v>2502</v>
      </c>
      <c r="Y276" s="64">
        <v>2983</v>
      </c>
    </row>
    <row r="277" spans="7:25" ht="26" x14ac:dyDescent="0.35">
      <c r="G277" s="67">
        <v>275</v>
      </c>
      <c r="H277" s="63" t="s">
        <v>2685</v>
      </c>
      <c r="I277" s="64" t="s">
        <v>612</v>
      </c>
      <c r="J277" s="64">
        <v>11185</v>
      </c>
      <c r="L277" s="40">
        <v>275</v>
      </c>
      <c r="M277" s="63" t="s">
        <v>2685</v>
      </c>
      <c r="N277" s="64" t="s">
        <v>1353</v>
      </c>
      <c r="O277" s="64">
        <v>11428</v>
      </c>
      <c r="Q277" s="40">
        <v>275</v>
      </c>
      <c r="R277" s="63" t="s">
        <v>56</v>
      </c>
      <c r="S277" s="64" t="s">
        <v>841</v>
      </c>
      <c r="T277" s="64">
        <v>2499</v>
      </c>
      <c r="V277" s="67">
        <v>275</v>
      </c>
      <c r="W277" s="63" t="s">
        <v>56</v>
      </c>
      <c r="X277" s="64" t="s">
        <v>2117</v>
      </c>
      <c r="Y277" s="64">
        <v>2784</v>
      </c>
    </row>
    <row r="278" spans="7:25" ht="26" x14ac:dyDescent="0.35">
      <c r="G278" s="67">
        <v>276</v>
      </c>
      <c r="H278" s="63" t="s">
        <v>2685</v>
      </c>
      <c r="I278" s="64" t="s">
        <v>614</v>
      </c>
      <c r="J278" s="64">
        <v>10824</v>
      </c>
      <c r="L278" s="40">
        <v>276</v>
      </c>
      <c r="M278" s="63" t="s">
        <v>2685</v>
      </c>
      <c r="N278" s="77" t="s">
        <v>221</v>
      </c>
      <c r="O278" s="64">
        <v>11220</v>
      </c>
      <c r="Q278" s="40">
        <v>276</v>
      </c>
      <c r="R278" s="63" t="s">
        <v>56</v>
      </c>
      <c r="S278" s="64" t="s">
        <v>850</v>
      </c>
      <c r="T278" s="64">
        <v>2993</v>
      </c>
      <c r="V278" s="67">
        <v>276</v>
      </c>
      <c r="W278" s="63" t="s">
        <v>56</v>
      </c>
      <c r="X278" s="64" t="s">
        <v>2118</v>
      </c>
      <c r="Y278" s="64">
        <v>10604</v>
      </c>
    </row>
    <row r="279" spans="7:25" ht="26" x14ac:dyDescent="0.35">
      <c r="G279" s="67">
        <v>277</v>
      </c>
      <c r="H279" s="63" t="s">
        <v>2685</v>
      </c>
      <c r="I279" s="64" t="s">
        <v>1409</v>
      </c>
      <c r="J279" s="64">
        <v>11495</v>
      </c>
      <c r="L279" s="40">
        <v>277</v>
      </c>
      <c r="M279" s="63" t="s">
        <v>2685</v>
      </c>
      <c r="N279" s="64" t="s">
        <v>1529</v>
      </c>
      <c r="O279" s="64">
        <v>11567</v>
      </c>
      <c r="Q279" s="40">
        <v>277</v>
      </c>
      <c r="R279" s="63" t="s">
        <v>56</v>
      </c>
      <c r="S279" s="64" t="s">
        <v>854</v>
      </c>
      <c r="T279" s="64">
        <v>8091</v>
      </c>
      <c r="V279" s="67">
        <v>277</v>
      </c>
      <c r="W279" s="63" t="s">
        <v>56</v>
      </c>
      <c r="X279" s="64" t="s">
        <v>2119</v>
      </c>
      <c r="Y279" s="64">
        <v>10341</v>
      </c>
    </row>
    <row r="280" spans="7:25" ht="26" x14ac:dyDescent="0.35">
      <c r="G280" s="67">
        <v>278</v>
      </c>
      <c r="H280" s="63" t="s">
        <v>2685</v>
      </c>
      <c r="I280" s="64" t="s">
        <v>1461</v>
      </c>
      <c r="J280" s="64">
        <v>11481</v>
      </c>
      <c r="L280" s="40">
        <v>278</v>
      </c>
      <c r="M280" s="63" t="s">
        <v>2685</v>
      </c>
      <c r="N280" s="64" t="s">
        <v>1530</v>
      </c>
      <c r="O280" s="64">
        <v>11568</v>
      </c>
      <c r="Q280" s="40">
        <v>278</v>
      </c>
      <c r="R280" s="63" t="s">
        <v>56</v>
      </c>
      <c r="S280" s="64" t="s">
        <v>856</v>
      </c>
      <c r="T280" s="64">
        <v>2514</v>
      </c>
      <c r="V280" s="67">
        <v>278</v>
      </c>
      <c r="W280" s="63" t="s">
        <v>56</v>
      </c>
      <c r="X280" s="64" t="s">
        <v>2120</v>
      </c>
      <c r="Y280" s="64">
        <v>2785</v>
      </c>
    </row>
    <row r="281" spans="7:25" ht="26" x14ac:dyDescent="0.35">
      <c r="G281" s="67">
        <v>279</v>
      </c>
      <c r="H281" s="63" t="s">
        <v>2685</v>
      </c>
      <c r="I281" s="64" t="s">
        <v>1459</v>
      </c>
      <c r="J281" s="64">
        <v>11479</v>
      </c>
      <c r="L281" s="40">
        <v>279</v>
      </c>
      <c r="M281" s="63" t="s">
        <v>2685</v>
      </c>
      <c r="N281" s="64" t="s">
        <v>1458</v>
      </c>
      <c r="O281" s="64">
        <v>10905</v>
      </c>
      <c r="Q281" s="40">
        <v>279</v>
      </c>
      <c r="R281" s="63" t="s">
        <v>56</v>
      </c>
      <c r="S281" s="64" t="s">
        <v>858</v>
      </c>
      <c r="T281" s="64">
        <v>10152</v>
      </c>
      <c r="V281" s="67">
        <v>279</v>
      </c>
      <c r="W281" s="63" t="s">
        <v>56</v>
      </c>
      <c r="X281" s="64" t="s">
        <v>2122</v>
      </c>
      <c r="Y281" s="64">
        <v>3339</v>
      </c>
    </row>
    <row r="282" spans="7:25" ht="26" x14ac:dyDescent="0.35">
      <c r="G282" s="67">
        <v>280</v>
      </c>
      <c r="H282" s="63" t="s">
        <v>2685</v>
      </c>
      <c r="I282" s="64" t="s">
        <v>1460</v>
      </c>
      <c r="J282" s="64">
        <v>11480</v>
      </c>
      <c r="L282" s="40">
        <v>280</v>
      </c>
      <c r="M282" s="63" t="s">
        <v>2685</v>
      </c>
      <c r="N282" s="64" t="s">
        <v>1358</v>
      </c>
      <c r="O282" s="64">
        <v>11429</v>
      </c>
      <c r="Q282" s="40">
        <v>280</v>
      </c>
      <c r="R282" s="63" t="s">
        <v>56</v>
      </c>
      <c r="S282" s="64" t="s">
        <v>860</v>
      </c>
      <c r="T282" s="64">
        <v>8050</v>
      </c>
      <c r="V282" s="67">
        <v>280</v>
      </c>
      <c r="W282" s="63" t="s">
        <v>56</v>
      </c>
      <c r="X282" s="64" t="s">
        <v>2121</v>
      </c>
      <c r="Y282" s="64">
        <v>3338</v>
      </c>
    </row>
    <row r="283" spans="7:25" ht="26" x14ac:dyDescent="0.35">
      <c r="G283" s="67">
        <v>281</v>
      </c>
      <c r="H283" s="63" t="s">
        <v>2685</v>
      </c>
      <c r="I283" s="64" t="s">
        <v>1462</v>
      </c>
      <c r="J283" s="64">
        <v>11482</v>
      </c>
      <c r="L283" s="40">
        <v>281</v>
      </c>
      <c r="M283" s="63" t="s">
        <v>2685</v>
      </c>
      <c r="N283" s="77" t="s">
        <v>992</v>
      </c>
      <c r="O283" s="64">
        <v>11380</v>
      </c>
      <c r="Q283" s="40">
        <v>281</v>
      </c>
      <c r="R283" s="63" t="s">
        <v>56</v>
      </c>
      <c r="S283" s="64" t="s">
        <v>862</v>
      </c>
      <c r="T283" s="64">
        <v>9963</v>
      </c>
      <c r="V283" s="67">
        <v>281</v>
      </c>
      <c r="W283" s="63" t="s">
        <v>56</v>
      </c>
      <c r="X283" s="64" t="s">
        <v>2123</v>
      </c>
      <c r="Y283" s="64">
        <v>10342</v>
      </c>
    </row>
    <row r="284" spans="7:25" ht="26" x14ac:dyDescent="0.35">
      <c r="G284" s="67">
        <v>282</v>
      </c>
      <c r="H284" s="63" t="s">
        <v>2685</v>
      </c>
      <c r="I284" s="64" t="s">
        <v>648</v>
      </c>
      <c r="J284" s="64">
        <v>11393</v>
      </c>
      <c r="L284" s="40">
        <v>282</v>
      </c>
      <c r="M284" s="63" t="s">
        <v>2685</v>
      </c>
      <c r="N284" s="77" t="s">
        <v>995</v>
      </c>
      <c r="O284" s="64">
        <v>11381</v>
      </c>
      <c r="Q284" s="40">
        <v>282</v>
      </c>
      <c r="R284" s="63" t="s">
        <v>56</v>
      </c>
      <c r="S284" s="64" t="s">
        <v>864</v>
      </c>
      <c r="T284" s="64">
        <v>2519</v>
      </c>
      <c r="V284" s="67">
        <v>282</v>
      </c>
      <c r="W284" s="63" t="s">
        <v>56</v>
      </c>
      <c r="X284" s="64" t="s">
        <v>910</v>
      </c>
      <c r="Y284" s="64">
        <v>8216</v>
      </c>
    </row>
    <row r="285" spans="7:25" ht="26" x14ac:dyDescent="0.35">
      <c r="G285" s="67">
        <v>283</v>
      </c>
      <c r="H285" s="63" t="s">
        <v>2685</v>
      </c>
      <c r="I285" s="64" t="s">
        <v>616</v>
      </c>
      <c r="J285" s="64">
        <v>10825</v>
      </c>
      <c r="L285" s="40">
        <v>283</v>
      </c>
      <c r="M285" s="63" t="s">
        <v>2685</v>
      </c>
      <c r="N285" s="77" t="s">
        <v>997</v>
      </c>
      <c r="O285" s="64">
        <v>11382</v>
      </c>
      <c r="Q285" s="40">
        <v>283</v>
      </c>
      <c r="R285" s="63" t="s">
        <v>56</v>
      </c>
      <c r="S285" s="64" t="s">
        <v>866</v>
      </c>
      <c r="T285" s="64">
        <v>2521</v>
      </c>
      <c r="V285" s="67">
        <v>283</v>
      </c>
      <c r="W285" s="63" t="s">
        <v>56</v>
      </c>
      <c r="X285" s="64" t="s">
        <v>2124</v>
      </c>
      <c r="Y285" s="64">
        <v>8241</v>
      </c>
    </row>
    <row r="286" spans="7:25" ht="26" x14ac:dyDescent="0.35">
      <c r="G286" s="67">
        <v>284</v>
      </c>
      <c r="H286" s="63" t="s">
        <v>2685</v>
      </c>
      <c r="I286" s="64" t="s">
        <v>2338</v>
      </c>
      <c r="J286" s="64">
        <v>11886</v>
      </c>
      <c r="L286" s="40">
        <v>284</v>
      </c>
      <c r="M286" s="63" t="s">
        <v>2685</v>
      </c>
      <c r="N286" s="64" t="s">
        <v>2677</v>
      </c>
      <c r="O286" s="64">
        <v>11836</v>
      </c>
      <c r="Q286" s="40">
        <v>284</v>
      </c>
      <c r="R286" s="63" t="s">
        <v>56</v>
      </c>
      <c r="S286" s="64" t="s">
        <v>868</v>
      </c>
      <c r="T286" s="64">
        <v>2520</v>
      </c>
      <c r="V286" s="67">
        <v>284</v>
      </c>
      <c r="W286" s="63" t="s">
        <v>56</v>
      </c>
      <c r="X286" s="64" t="s">
        <v>2125</v>
      </c>
      <c r="Y286" s="64">
        <v>3341</v>
      </c>
    </row>
    <row r="287" spans="7:25" ht="26" x14ac:dyDescent="0.35">
      <c r="G287" s="67">
        <v>285</v>
      </c>
      <c r="H287" s="63" t="s">
        <v>2685</v>
      </c>
      <c r="I287" s="64" t="s">
        <v>1410</v>
      </c>
      <c r="J287" s="64">
        <v>11496</v>
      </c>
      <c r="L287" s="40">
        <v>285</v>
      </c>
      <c r="M287" s="63" t="s">
        <v>2685</v>
      </c>
      <c r="N287" s="77" t="s">
        <v>224</v>
      </c>
      <c r="O287" s="64">
        <v>11123</v>
      </c>
      <c r="Q287" s="40">
        <v>285</v>
      </c>
      <c r="R287" s="63" t="s">
        <v>56</v>
      </c>
      <c r="S287" s="64" t="s">
        <v>870</v>
      </c>
      <c r="T287" s="64">
        <v>10146</v>
      </c>
      <c r="V287" s="67">
        <v>285</v>
      </c>
      <c r="W287" s="63" t="s">
        <v>56</v>
      </c>
      <c r="X287" s="64" t="s">
        <v>2126</v>
      </c>
      <c r="Y287" s="64">
        <v>2786</v>
      </c>
    </row>
    <row r="288" spans="7:25" ht="26" x14ac:dyDescent="0.35">
      <c r="G288" s="67">
        <v>286</v>
      </c>
      <c r="H288" s="63" t="s">
        <v>2685</v>
      </c>
      <c r="I288" s="64" t="s">
        <v>619</v>
      </c>
      <c r="J288" s="64">
        <v>10827</v>
      </c>
      <c r="L288" s="40">
        <v>286</v>
      </c>
      <c r="M288" s="63" t="s">
        <v>2685</v>
      </c>
      <c r="N288" s="77" t="s">
        <v>226</v>
      </c>
      <c r="O288" s="64">
        <v>11124</v>
      </c>
      <c r="Q288" s="40">
        <v>286</v>
      </c>
      <c r="R288" s="63" t="s">
        <v>56</v>
      </c>
      <c r="S288" s="64" t="s">
        <v>872</v>
      </c>
      <c r="T288" s="64">
        <v>8004</v>
      </c>
      <c r="V288" s="67">
        <v>286</v>
      </c>
      <c r="W288" s="63" t="s">
        <v>56</v>
      </c>
      <c r="X288" s="64" t="s">
        <v>2127</v>
      </c>
      <c r="Y288" s="64">
        <v>8324</v>
      </c>
    </row>
    <row r="289" spans="7:25" ht="39" x14ac:dyDescent="0.35">
      <c r="G289" s="67">
        <v>287</v>
      </c>
      <c r="H289" s="63" t="s">
        <v>2685</v>
      </c>
      <c r="I289" s="64" t="s">
        <v>1420</v>
      </c>
      <c r="J289" s="64">
        <v>11497</v>
      </c>
      <c r="L289" s="40">
        <v>287</v>
      </c>
      <c r="M289" s="63" t="s">
        <v>2685</v>
      </c>
      <c r="N289" s="64" t="s">
        <v>1531</v>
      </c>
      <c r="O289" s="64">
        <v>11569</v>
      </c>
      <c r="Q289" s="40">
        <v>287</v>
      </c>
      <c r="R289" s="63" t="s">
        <v>56</v>
      </c>
      <c r="S289" s="64" t="s">
        <v>876</v>
      </c>
      <c r="T289" s="64">
        <v>3006</v>
      </c>
      <c r="V289" s="67">
        <v>287</v>
      </c>
      <c r="W289" s="63" t="s">
        <v>56</v>
      </c>
      <c r="X289" s="64" t="s">
        <v>2128</v>
      </c>
      <c r="Y289" s="64">
        <v>2787</v>
      </c>
    </row>
    <row r="290" spans="7:25" ht="26" x14ac:dyDescent="0.35">
      <c r="G290" s="67">
        <v>288</v>
      </c>
      <c r="H290" s="63" t="s">
        <v>2685</v>
      </c>
      <c r="I290" s="64" t="s">
        <v>621</v>
      </c>
      <c r="J290" s="64">
        <v>10828</v>
      </c>
      <c r="L290" s="40">
        <v>288</v>
      </c>
      <c r="M290" s="63" t="s">
        <v>2685</v>
      </c>
      <c r="N290" s="77" t="s">
        <v>229</v>
      </c>
      <c r="O290" s="64">
        <v>11125</v>
      </c>
      <c r="Q290" s="40">
        <v>288</v>
      </c>
      <c r="R290" s="63" t="s">
        <v>56</v>
      </c>
      <c r="S290" s="64" t="s">
        <v>880</v>
      </c>
      <c r="T290" s="64">
        <v>3475</v>
      </c>
      <c r="V290" s="67">
        <v>288</v>
      </c>
      <c r="W290" s="63" t="s">
        <v>56</v>
      </c>
      <c r="X290" s="64" t="s">
        <v>2129</v>
      </c>
      <c r="Y290" s="64">
        <v>3343</v>
      </c>
    </row>
    <row r="291" spans="7:25" ht="26" x14ac:dyDescent="0.35">
      <c r="G291" s="67">
        <v>289</v>
      </c>
      <c r="H291" s="63" t="s">
        <v>2685</v>
      </c>
      <c r="I291" s="64" t="s">
        <v>623</v>
      </c>
      <c r="J291" s="64">
        <v>10829</v>
      </c>
      <c r="L291" s="40">
        <v>289</v>
      </c>
      <c r="M291" s="63" t="s">
        <v>2685</v>
      </c>
      <c r="N291" s="64" t="s">
        <v>1532</v>
      </c>
      <c r="O291" s="64">
        <v>11570</v>
      </c>
      <c r="Q291" s="40">
        <v>289</v>
      </c>
      <c r="R291" s="63" t="s">
        <v>56</v>
      </c>
      <c r="S291" s="64" t="s">
        <v>884</v>
      </c>
      <c r="T291" s="64">
        <v>2531</v>
      </c>
      <c r="V291" s="67">
        <v>289</v>
      </c>
      <c r="W291" s="63" t="s">
        <v>56</v>
      </c>
      <c r="X291" s="64" t="s">
        <v>2130</v>
      </c>
      <c r="Y291" s="64">
        <v>8167</v>
      </c>
    </row>
    <row r="292" spans="7:25" ht="26" x14ac:dyDescent="0.35">
      <c r="G292" s="67">
        <v>290</v>
      </c>
      <c r="H292" s="63" t="s">
        <v>2685</v>
      </c>
      <c r="I292" s="64" t="s">
        <v>625</v>
      </c>
      <c r="J292" s="64">
        <v>10830</v>
      </c>
      <c r="L292" s="40">
        <v>290</v>
      </c>
      <c r="M292" s="63" t="s">
        <v>2685</v>
      </c>
      <c r="N292" s="64" t="s">
        <v>1533</v>
      </c>
      <c r="O292" s="64">
        <v>11571</v>
      </c>
      <c r="Q292" s="40">
        <v>290</v>
      </c>
      <c r="R292" s="63" t="s">
        <v>56</v>
      </c>
      <c r="S292" s="64" t="s">
        <v>887</v>
      </c>
      <c r="T292" s="64">
        <v>8020</v>
      </c>
      <c r="V292" s="67">
        <v>290</v>
      </c>
      <c r="W292" s="63" t="s">
        <v>56</v>
      </c>
      <c r="X292" s="64" t="s">
        <v>2131</v>
      </c>
      <c r="Y292" s="64">
        <v>2788</v>
      </c>
    </row>
    <row r="293" spans="7:25" ht="26" x14ac:dyDescent="0.35">
      <c r="G293" s="67">
        <v>291</v>
      </c>
      <c r="H293" s="63" t="s">
        <v>2685</v>
      </c>
      <c r="I293" s="64" t="s">
        <v>1345</v>
      </c>
      <c r="J293" s="64">
        <v>11403</v>
      </c>
      <c r="L293" s="40">
        <v>291</v>
      </c>
      <c r="M293" s="63" t="s">
        <v>2685</v>
      </c>
      <c r="N293" s="64" t="s">
        <v>1534</v>
      </c>
      <c r="O293" s="64">
        <v>11572</v>
      </c>
      <c r="Q293" s="40">
        <v>291</v>
      </c>
      <c r="R293" s="63" t="s">
        <v>56</v>
      </c>
      <c r="S293" s="64" t="s">
        <v>889</v>
      </c>
      <c r="T293" s="64">
        <v>2533</v>
      </c>
      <c r="V293" s="67">
        <v>291</v>
      </c>
      <c r="W293" s="63" t="s">
        <v>56</v>
      </c>
      <c r="X293" s="64" t="s">
        <v>2353</v>
      </c>
      <c r="Y293" s="64">
        <v>3393</v>
      </c>
    </row>
    <row r="294" spans="7:25" ht="26" x14ac:dyDescent="0.35">
      <c r="G294" s="67">
        <v>292</v>
      </c>
      <c r="H294" s="63" t="s">
        <v>2685</v>
      </c>
      <c r="I294" s="64" t="s">
        <v>628</v>
      </c>
      <c r="J294" s="64">
        <v>10832</v>
      </c>
      <c r="L294" s="40">
        <v>292</v>
      </c>
      <c r="M294" s="63" t="s">
        <v>2685</v>
      </c>
      <c r="N294" s="77" t="s">
        <v>999</v>
      </c>
      <c r="O294" s="64">
        <v>11383</v>
      </c>
      <c r="Q294" s="40">
        <v>292</v>
      </c>
      <c r="R294" s="63" t="s">
        <v>56</v>
      </c>
      <c r="S294" s="64" t="s">
        <v>891</v>
      </c>
      <c r="T294" s="64">
        <v>8001</v>
      </c>
      <c r="V294" s="67">
        <v>292</v>
      </c>
      <c r="W294" s="63" t="s">
        <v>56</v>
      </c>
      <c r="X294" s="64" t="s">
        <v>929</v>
      </c>
      <c r="Y294" s="64">
        <v>8230</v>
      </c>
    </row>
    <row r="295" spans="7:25" ht="26" x14ac:dyDescent="0.35">
      <c r="G295" s="67">
        <v>293</v>
      </c>
      <c r="H295" s="63" t="s">
        <v>2685</v>
      </c>
      <c r="I295" s="64" t="s">
        <v>630</v>
      </c>
      <c r="J295" s="64">
        <v>10833</v>
      </c>
      <c r="L295" s="40">
        <v>293</v>
      </c>
      <c r="M295" s="63" t="s">
        <v>2685</v>
      </c>
      <c r="N295" s="64" t="s">
        <v>1535</v>
      </c>
      <c r="O295" s="64">
        <v>11574</v>
      </c>
      <c r="Q295" s="40">
        <v>293</v>
      </c>
      <c r="R295" s="63" t="s">
        <v>56</v>
      </c>
      <c r="S295" s="64" t="s">
        <v>893</v>
      </c>
      <c r="T295" s="64">
        <v>8007</v>
      </c>
      <c r="V295" s="67">
        <v>293</v>
      </c>
      <c r="W295" s="63" t="s">
        <v>56</v>
      </c>
      <c r="X295" s="64" t="s">
        <v>2132</v>
      </c>
      <c r="Y295" s="64">
        <v>2789</v>
      </c>
    </row>
    <row r="296" spans="7:25" ht="26" x14ac:dyDescent="0.35">
      <c r="G296" s="67">
        <v>294</v>
      </c>
      <c r="H296" s="63" t="s">
        <v>2685</v>
      </c>
      <c r="I296" s="64" t="s">
        <v>632</v>
      </c>
      <c r="J296" s="64">
        <v>10834</v>
      </c>
      <c r="L296" s="40">
        <v>294</v>
      </c>
      <c r="M296" s="63" t="s">
        <v>2685</v>
      </c>
      <c r="N296" s="77" t="s">
        <v>1001</v>
      </c>
      <c r="O296" s="64">
        <v>11384</v>
      </c>
      <c r="Q296" s="40">
        <v>294</v>
      </c>
      <c r="R296" s="63" t="s">
        <v>56</v>
      </c>
      <c r="S296" s="64" t="s">
        <v>895</v>
      </c>
      <c r="T296" s="64">
        <v>2535</v>
      </c>
      <c r="V296" s="67">
        <v>294</v>
      </c>
      <c r="W296" s="63" t="s">
        <v>56</v>
      </c>
      <c r="X296" s="64" t="s">
        <v>2133</v>
      </c>
      <c r="Y296" s="64">
        <v>2790</v>
      </c>
    </row>
    <row r="297" spans="7:25" ht="26" x14ac:dyDescent="0.35">
      <c r="G297" s="67">
        <v>295</v>
      </c>
      <c r="H297" s="63" t="s">
        <v>2685</v>
      </c>
      <c r="I297" s="64" t="s">
        <v>1411</v>
      </c>
      <c r="J297" s="64">
        <v>11498</v>
      </c>
      <c r="L297" s="40">
        <v>295</v>
      </c>
      <c r="M297" s="63" t="s">
        <v>2685</v>
      </c>
      <c r="N297" s="77" t="s">
        <v>1003</v>
      </c>
      <c r="O297" s="64">
        <v>11385</v>
      </c>
      <c r="Q297" s="40">
        <v>295</v>
      </c>
      <c r="R297" s="63" t="s">
        <v>56</v>
      </c>
      <c r="S297" s="64" t="s">
        <v>897</v>
      </c>
      <c r="T297" s="64">
        <v>2536</v>
      </c>
      <c r="V297" s="67">
        <v>295</v>
      </c>
      <c r="W297" s="63" t="s">
        <v>56</v>
      </c>
      <c r="X297" s="64" t="s">
        <v>2135</v>
      </c>
      <c r="Y297" s="64">
        <v>8284</v>
      </c>
    </row>
    <row r="298" spans="7:25" ht="26" x14ac:dyDescent="0.35">
      <c r="G298" s="67">
        <v>296</v>
      </c>
      <c r="H298" s="63" t="s">
        <v>2685</v>
      </c>
      <c r="I298" s="64" t="s">
        <v>635</v>
      </c>
      <c r="J298" s="64">
        <v>10836</v>
      </c>
      <c r="L298" s="40">
        <v>296</v>
      </c>
      <c r="M298" s="63" t="s">
        <v>2685</v>
      </c>
      <c r="N298" s="77" t="s">
        <v>236</v>
      </c>
      <c r="O298" s="64">
        <v>11128</v>
      </c>
      <c r="Q298" s="40">
        <v>296</v>
      </c>
      <c r="R298" s="63" t="s">
        <v>56</v>
      </c>
      <c r="S298" s="64" t="s">
        <v>901</v>
      </c>
      <c r="T298" s="64">
        <v>2512</v>
      </c>
      <c r="V298" s="67">
        <v>296</v>
      </c>
      <c r="W298" s="63" t="s">
        <v>56</v>
      </c>
      <c r="X298" s="64" t="s">
        <v>2137</v>
      </c>
      <c r="Y298" s="64">
        <v>2792</v>
      </c>
    </row>
    <row r="299" spans="7:25" ht="26" x14ac:dyDescent="0.35">
      <c r="G299" s="67">
        <v>297</v>
      </c>
      <c r="H299" s="63" t="s">
        <v>2685</v>
      </c>
      <c r="I299" s="64" t="s">
        <v>637</v>
      </c>
      <c r="J299" s="64">
        <v>10837</v>
      </c>
      <c r="L299" s="40">
        <v>297</v>
      </c>
      <c r="M299" s="63" t="s">
        <v>2685</v>
      </c>
      <c r="N299" s="77" t="s">
        <v>239</v>
      </c>
      <c r="O299" s="64">
        <v>11129</v>
      </c>
      <c r="Q299" s="40">
        <v>297</v>
      </c>
      <c r="R299" s="63" t="s">
        <v>56</v>
      </c>
      <c r="S299" s="64" t="s">
        <v>903</v>
      </c>
      <c r="T299" s="64">
        <v>8033</v>
      </c>
      <c r="V299" s="67">
        <v>297</v>
      </c>
      <c r="W299" s="63" t="s">
        <v>56</v>
      </c>
      <c r="X299" s="64" t="s">
        <v>2136</v>
      </c>
      <c r="Y299" s="64">
        <v>2793</v>
      </c>
    </row>
    <row r="300" spans="7:25" ht="26" x14ac:dyDescent="0.35">
      <c r="G300" s="67">
        <v>298</v>
      </c>
      <c r="H300" s="63" t="s">
        <v>2685</v>
      </c>
      <c r="I300" s="64" t="s">
        <v>639</v>
      </c>
      <c r="J300" s="64">
        <v>10838</v>
      </c>
      <c r="L300" s="40">
        <v>298</v>
      </c>
      <c r="M300" s="63" t="s">
        <v>2685</v>
      </c>
      <c r="N300" s="77" t="s">
        <v>1005</v>
      </c>
      <c r="O300" s="64">
        <v>11386</v>
      </c>
      <c r="Q300" s="40">
        <v>298</v>
      </c>
      <c r="R300" s="63" t="s">
        <v>56</v>
      </c>
      <c r="S300" s="64" t="s">
        <v>905</v>
      </c>
      <c r="T300" s="64">
        <v>2540</v>
      </c>
      <c r="V300" s="67">
        <v>298</v>
      </c>
      <c r="W300" s="63" t="s">
        <v>56</v>
      </c>
      <c r="X300" s="64" t="s">
        <v>2138</v>
      </c>
      <c r="Y300" s="64">
        <v>3344</v>
      </c>
    </row>
    <row r="301" spans="7:25" ht="26" x14ac:dyDescent="0.35">
      <c r="G301" s="67">
        <v>299</v>
      </c>
      <c r="H301" s="63" t="s">
        <v>2685</v>
      </c>
      <c r="I301" s="64" t="s">
        <v>641</v>
      </c>
      <c r="J301" s="64">
        <v>10839</v>
      </c>
      <c r="L301" s="40">
        <v>299</v>
      </c>
      <c r="M301" s="63" t="s">
        <v>2685</v>
      </c>
      <c r="N301" s="64" t="s">
        <v>2629</v>
      </c>
      <c r="O301" s="64">
        <v>11791</v>
      </c>
      <c r="Q301" s="40">
        <v>299</v>
      </c>
      <c r="R301" s="63" t="s">
        <v>56</v>
      </c>
      <c r="S301" s="64" t="s">
        <v>907</v>
      </c>
      <c r="T301" s="64">
        <v>10553</v>
      </c>
      <c r="V301" s="67">
        <v>299</v>
      </c>
      <c r="W301" s="63" t="s">
        <v>56</v>
      </c>
      <c r="X301" s="64" t="s">
        <v>2139</v>
      </c>
      <c r="Y301" s="64">
        <v>10271</v>
      </c>
    </row>
    <row r="302" spans="7:25" ht="39" x14ac:dyDescent="0.35">
      <c r="G302" s="67">
        <v>300</v>
      </c>
      <c r="H302" s="63" t="s">
        <v>2685</v>
      </c>
      <c r="I302" s="80" t="s">
        <v>2992</v>
      </c>
      <c r="J302" s="75" t="s">
        <v>2993</v>
      </c>
      <c r="L302" s="40">
        <v>300</v>
      </c>
      <c r="M302" s="63" t="s">
        <v>2685</v>
      </c>
      <c r="N302" s="64" t="s">
        <v>845</v>
      </c>
      <c r="O302" s="64">
        <v>10908</v>
      </c>
      <c r="Q302" s="40">
        <v>300</v>
      </c>
      <c r="R302" s="63" t="s">
        <v>56</v>
      </c>
      <c r="S302" s="64" t="s">
        <v>909</v>
      </c>
      <c r="T302" s="64">
        <v>10172</v>
      </c>
      <c r="V302" s="67">
        <v>300</v>
      </c>
      <c r="W302" s="63" t="s">
        <v>56</v>
      </c>
      <c r="X302" s="64" t="s">
        <v>2140</v>
      </c>
      <c r="Y302" s="64">
        <v>10127</v>
      </c>
    </row>
    <row r="303" spans="7:25" ht="26" x14ac:dyDescent="0.35">
      <c r="G303" s="67">
        <v>301</v>
      </c>
      <c r="H303" s="63" t="s">
        <v>2685</v>
      </c>
      <c r="I303" s="64" t="s">
        <v>644</v>
      </c>
      <c r="J303" s="64">
        <v>11343</v>
      </c>
      <c r="L303" s="40">
        <v>301</v>
      </c>
      <c r="M303" s="63" t="s">
        <v>2685</v>
      </c>
      <c r="N303" s="64" t="s">
        <v>1024</v>
      </c>
      <c r="O303" s="64">
        <v>11575</v>
      </c>
      <c r="Q303" s="40">
        <v>301</v>
      </c>
      <c r="R303" s="63" t="s">
        <v>56</v>
      </c>
      <c r="S303" s="64" t="s">
        <v>912</v>
      </c>
      <c r="T303" s="64">
        <v>2541</v>
      </c>
      <c r="V303" s="67">
        <v>301</v>
      </c>
      <c r="W303" s="63" t="s">
        <v>56</v>
      </c>
      <c r="X303" s="64" t="s">
        <v>2141</v>
      </c>
      <c r="Y303" s="64">
        <v>3345</v>
      </c>
    </row>
    <row r="304" spans="7:25" ht="26" x14ac:dyDescent="0.35">
      <c r="G304" s="67">
        <v>302</v>
      </c>
      <c r="H304" s="63" t="s">
        <v>2685</v>
      </c>
      <c r="I304" s="64" t="s">
        <v>646</v>
      </c>
      <c r="J304" s="64">
        <v>11352</v>
      </c>
      <c r="L304" s="40">
        <v>302</v>
      </c>
      <c r="M304" s="63" t="s">
        <v>2685</v>
      </c>
      <c r="N304" s="64" t="s">
        <v>245</v>
      </c>
      <c r="O304" s="64">
        <v>11130</v>
      </c>
      <c r="Q304" s="40">
        <v>302</v>
      </c>
      <c r="R304" s="63" t="s">
        <v>56</v>
      </c>
      <c r="S304" s="64" t="s">
        <v>914</v>
      </c>
      <c r="T304" s="64">
        <v>2543</v>
      </c>
      <c r="V304" s="67">
        <v>302</v>
      </c>
      <c r="W304" s="63" t="s">
        <v>56</v>
      </c>
      <c r="X304" s="64" t="s">
        <v>2142</v>
      </c>
      <c r="Y304" s="64">
        <v>8244</v>
      </c>
    </row>
    <row r="305" spans="7:25" ht="26" x14ac:dyDescent="0.35">
      <c r="G305" s="67">
        <v>303</v>
      </c>
      <c r="H305" s="63" t="s">
        <v>2685</v>
      </c>
      <c r="I305" s="64" t="s">
        <v>652</v>
      </c>
      <c r="J305" s="64">
        <v>10841</v>
      </c>
      <c r="L305" s="40">
        <v>303</v>
      </c>
      <c r="M305" s="63" t="s">
        <v>2685</v>
      </c>
      <c r="N305" s="64" t="s">
        <v>1415</v>
      </c>
      <c r="O305" s="64">
        <v>11474</v>
      </c>
      <c r="Q305" s="40">
        <v>303</v>
      </c>
      <c r="R305" s="63" t="s">
        <v>56</v>
      </c>
      <c r="S305" s="64" t="s">
        <v>916</v>
      </c>
      <c r="T305" s="64">
        <v>3030</v>
      </c>
      <c r="V305" s="67">
        <v>303</v>
      </c>
      <c r="W305" s="63" t="s">
        <v>56</v>
      </c>
      <c r="X305" s="64" t="s">
        <v>2143</v>
      </c>
      <c r="Y305" s="64">
        <v>3346</v>
      </c>
    </row>
    <row r="306" spans="7:25" ht="26" x14ac:dyDescent="0.35">
      <c r="G306" s="67">
        <v>304</v>
      </c>
      <c r="H306" s="63" t="s">
        <v>2685</v>
      </c>
      <c r="I306" s="64" t="s">
        <v>664</v>
      </c>
      <c r="J306" s="64">
        <v>11184</v>
      </c>
      <c r="L306" s="40">
        <v>304</v>
      </c>
      <c r="M306" s="63" t="s">
        <v>2685</v>
      </c>
      <c r="N306" s="64" t="s">
        <v>2021</v>
      </c>
      <c r="O306" s="64">
        <v>11985</v>
      </c>
      <c r="Q306" s="40">
        <v>304</v>
      </c>
      <c r="R306" s="63" t="s">
        <v>56</v>
      </c>
      <c r="S306" s="64" t="s">
        <v>918</v>
      </c>
      <c r="T306" s="64">
        <v>2545</v>
      </c>
      <c r="V306" s="67">
        <v>304</v>
      </c>
      <c r="W306" s="63" t="s">
        <v>56</v>
      </c>
      <c r="X306" s="64" t="s">
        <v>2144</v>
      </c>
      <c r="Y306" s="64">
        <v>3347</v>
      </c>
    </row>
    <row r="307" spans="7:25" ht="26" x14ac:dyDescent="0.35">
      <c r="G307" s="67">
        <v>305</v>
      </c>
      <c r="H307" s="63" t="s">
        <v>2685</v>
      </c>
      <c r="I307" s="64" t="s">
        <v>668</v>
      </c>
      <c r="J307" s="64">
        <v>11183</v>
      </c>
      <c r="L307" s="40">
        <v>305</v>
      </c>
      <c r="M307" s="63" t="s">
        <v>2685</v>
      </c>
      <c r="N307" s="64" t="s">
        <v>248</v>
      </c>
      <c r="O307" s="64">
        <v>11131</v>
      </c>
      <c r="Q307" s="40">
        <v>305</v>
      </c>
      <c r="R307" s="63" t="s">
        <v>56</v>
      </c>
      <c r="S307" s="64" t="s">
        <v>922</v>
      </c>
      <c r="T307" s="64">
        <v>2548</v>
      </c>
      <c r="V307" s="67">
        <v>305</v>
      </c>
      <c r="W307" s="63" t="s">
        <v>56</v>
      </c>
      <c r="X307" s="64" t="s">
        <v>957</v>
      </c>
      <c r="Y307" s="64">
        <v>8224</v>
      </c>
    </row>
    <row r="308" spans="7:25" ht="26" x14ac:dyDescent="0.35">
      <c r="G308" s="67">
        <v>306</v>
      </c>
      <c r="H308" s="63" t="s">
        <v>2685</v>
      </c>
      <c r="I308" s="64" t="s">
        <v>670</v>
      </c>
      <c r="J308" s="64">
        <v>10845</v>
      </c>
      <c r="L308" s="40">
        <v>306</v>
      </c>
      <c r="M308" s="63" t="s">
        <v>2685</v>
      </c>
      <c r="N308" s="64" t="s">
        <v>1536</v>
      </c>
      <c r="O308" s="64">
        <v>11576</v>
      </c>
      <c r="Q308" s="40">
        <v>306</v>
      </c>
      <c r="R308" s="63" t="s">
        <v>56</v>
      </c>
      <c r="S308" s="64" t="s">
        <v>924</v>
      </c>
      <c r="T308" s="64">
        <v>10153</v>
      </c>
      <c r="V308" s="67">
        <v>306</v>
      </c>
      <c r="W308" s="63" t="s">
        <v>56</v>
      </c>
      <c r="X308" s="64" t="s">
        <v>2145</v>
      </c>
      <c r="Y308" s="64">
        <v>2794</v>
      </c>
    </row>
    <row r="309" spans="7:25" ht="26" x14ac:dyDescent="0.35">
      <c r="G309" s="67">
        <v>307</v>
      </c>
      <c r="H309" s="63" t="s">
        <v>2685</v>
      </c>
      <c r="I309" s="64" t="s">
        <v>673</v>
      </c>
      <c r="J309" s="64">
        <v>10847</v>
      </c>
      <c r="L309" s="40">
        <v>307</v>
      </c>
      <c r="M309" s="63" t="s">
        <v>2685</v>
      </c>
      <c r="N309" s="64" t="s">
        <v>251</v>
      </c>
      <c r="O309" s="64">
        <v>11132</v>
      </c>
      <c r="Q309" s="40">
        <v>307</v>
      </c>
      <c r="R309" s="63" t="s">
        <v>56</v>
      </c>
      <c r="S309" s="64" t="s">
        <v>926</v>
      </c>
      <c r="T309" s="64">
        <v>10012</v>
      </c>
      <c r="V309" s="67">
        <v>307</v>
      </c>
      <c r="W309" s="63" t="s">
        <v>56</v>
      </c>
      <c r="X309" s="64" t="s">
        <v>2146</v>
      </c>
      <c r="Y309" s="64">
        <v>2795</v>
      </c>
    </row>
    <row r="310" spans="7:25" ht="26" x14ac:dyDescent="0.35">
      <c r="G310" s="67">
        <v>308</v>
      </c>
      <c r="H310" s="63" t="s">
        <v>2685</v>
      </c>
      <c r="I310" s="64" t="s">
        <v>675</v>
      </c>
      <c r="J310" s="64">
        <v>10848</v>
      </c>
      <c r="L310" s="40">
        <v>308</v>
      </c>
      <c r="M310" s="63" t="s">
        <v>2685</v>
      </c>
      <c r="N310" s="64" t="s">
        <v>1802</v>
      </c>
      <c r="O310" s="64">
        <v>11728</v>
      </c>
      <c r="Q310" s="40">
        <v>308</v>
      </c>
      <c r="R310" s="63" t="s">
        <v>56</v>
      </c>
      <c r="S310" s="64" t="s">
        <v>928</v>
      </c>
      <c r="T310" s="64">
        <v>2552</v>
      </c>
      <c r="V310" s="67">
        <v>308</v>
      </c>
      <c r="W310" s="63" t="s">
        <v>56</v>
      </c>
      <c r="X310" s="64" t="s">
        <v>2211</v>
      </c>
      <c r="Y310" s="64">
        <v>2796</v>
      </c>
    </row>
    <row r="311" spans="7:25" ht="26" x14ac:dyDescent="0.35">
      <c r="G311" s="67">
        <v>309</v>
      </c>
      <c r="H311" s="63" t="s">
        <v>2685</v>
      </c>
      <c r="I311" s="64" t="s">
        <v>1503</v>
      </c>
      <c r="J311" s="64">
        <v>11537</v>
      </c>
      <c r="L311" s="40">
        <v>309</v>
      </c>
      <c r="M311" s="63" t="s">
        <v>2685</v>
      </c>
      <c r="N311" s="64" t="s">
        <v>254</v>
      </c>
      <c r="O311" s="64">
        <v>11315</v>
      </c>
      <c r="Q311" s="40">
        <v>309</v>
      </c>
      <c r="R311" s="63" t="s">
        <v>56</v>
      </c>
      <c r="S311" s="64" t="s">
        <v>931</v>
      </c>
      <c r="T311" s="64">
        <v>3499</v>
      </c>
      <c r="V311" s="67">
        <v>309</v>
      </c>
      <c r="W311" s="63" t="s">
        <v>56</v>
      </c>
      <c r="X311" s="64" t="s">
        <v>966</v>
      </c>
      <c r="Y311" s="64">
        <v>3348</v>
      </c>
    </row>
    <row r="312" spans="7:25" ht="26" x14ac:dyDescent="0.35">
      <c r="G312" s="67">
        <v>310</v>
      </c>
      <c r="H312" s="63" t="s">
        <v>2685</v>
      </c>
      <c r="I312" s="64" t="s">
        <v>1504</v>
      </c>
      <c r="J312" s="64">
        <v>11538</v>
      </c>
      <c r="L312" s="40">
        <v>310</v>
      </c>
      <c r="M312" s="63" t="s">
        <v>2685</v>
      </c>
      <c r="N312" s="64" t="s">
        <v>849</v>
      </c>
      <c r="O312" s="64">
        <v>10909</v>
      </c>
      <c r="Q312" s="40">
        <v>310</v>
      </c>
      <c r="R312" s="63" t="s">
        <v>56</v>
      </c>
      <c r="S312" s="64" t="s">
        <v>934</v>
      </c>
      <c r="T312" s="64">
        <v>2553</v>
      </c>
      <c r="V312" s="67">
        <v>310</v>
      </c>
      <c r="W312" s="63" t="s">
        <v>56</v>
      </c>
      <c r="X312" s="64" t="s">
        <v>2212</v>
      </c>
      <c r="Y312" s="64">
        <v>8276</v>
      </c>
    </row>
    <row r="313" spans="7:25" ht="26" x14ac:dyDescent="0.35">
      <c r="G313" s="67">
        <v>311</v>
      </c>
      <c r="H313" s="63" t="s">
        <v>2685</v>
      </c>
      <c r="I313" s="64" t="s">
        <v>677</v>
      </c>
      <c r="J313" s="64">
        <v>10849</v>
      </c>
      <c r="L313" s="40">
        <v>311</v>
      </c>
      <c r="M313" s="63" t="s">
        <v>2685</v>
      </c>
      <c r="N313" s="64" t="s">
        <v>262</v>
      </c>
      <c r="O313" s="64">
        <v>11133</v>
      </c>
      <c r="Q313" s="40">
        <v>311</v>
      </c>
      <c r="R313" s="63" t="s">
        <v>56</v>
      </c>
      <c r="S313" s="64" t="s">
        <v>936</v>
      </c>
      <c r="T313" s="64">
        <v>10398</v>
      </c>
      <c r="V313" s="67">
        <v>311</v>
      </c>
      <c r="W313" s="63" t="s">
        <v>56</v>
      </c>
      <c r="X313" s="64" t="s">
        <v>972</v>
      </c>
      <c r="Y313" s="64">
        <v>8231</v>
      </c>
    </row>
    <row r="314" spans="7:25" ht="26" x14ac:dyDescent="0.35">
      <c r="G314" s="67">
        <v>312</v>
      </c>
      <c r="H314" s="63" t="s">
        <v>2685</v>
      </c>
      <c r="I314" s="64" t="s">
        <v>1505</v>
      </c>
      <c r="J314" s="64">
        <v>11539</v>
      </c>
      <c r="L314" s="40">
        <v>312</v>
      </c>
      <c r="M314" s="63" t="s">
        <v>2685</v>
      </c>
      <c r="N314" s="80" t="s">
        <v>2979</v>
      </c>
      <c r="O314" s="75">
        <v>12067</v>
      </c>
      <c r="Q314" s="40">
        <v>312</v>
      </c>
      <c r="R314" s="63" t="s">
        <v>56</v>
      </c>
      <c r="S314" s="64" t="s">
        <v>938</v>
      </c>
      <c r="T314" s="64">
        <v>2556</v>
      </c>
      <c r="V314" s="67">
        <v>312</v>
      </c>
      <c r="W314" s="63" t="s">
        <v>56</v>
      </c>
      <c r="X314" s="64" t="s">
        <v>2213</v>
      </c>
      <c r="Y314" s="64">
        <v>8168</v>
      </c>
    </row>
    <row r="315" spans="7:25" ht="26" x14ac:dyDescent="0.35">
      <c r="G315" s="67">
        <v>313</v>
      </c>
      <c r="H315" s="63" t="s">
        <v>2685</v>
      </c>
      <c r="I315" s="64" t="s">
        <v>679</v>
      </c>
      <c r="J315" s="64">
        <v>10850</v>
      </c>
      <c r="L315" s="40">
        <v>313</v>
      </c>
      <c r="M315" s="66" t="s">
        <v>2685</v>
      </c>
      <c r="N315" s="62" t="s">
        <v>1537</v>
      </c>
      <c r="O315" s="62">
        <v>11577</v>
      </c>
      <c r="Q315" s="40">
        <v>313</v>
      </c>
      <c r="R315" s="63" t="s">
        <v>56</v>
      </c>
      <c r="S315" s="64" t="s">
        <v>940</v>
      </c>
      <c r="T315" s="64">
        <v>2557</v>
      </c>
      <c r="V315" s="67">
        <v>313</v>
      </c>
      <c r="W315" s="63" t="s">
        <v>56</v>
      </c>
      <c r="X315" s="64" t="s">
        <v>2214</v>
      </c>
      <c r="Y315" s="64">
        <v>3349</v>
      </c>
    </row>
    <row r="316" spans="7:25" ht="26" x14ac:dyDescent="0.35">
      <c r="G316" s="67">
        <v>314</v>
      </c>
      <c r="H316" s="63" t="s">
        <v>2685</v>
      </c>
      <c r="I316" s="64" t="s">
        <v>682</v>
      </c>
      <c r="J316" s="64">
        <v>10851</v>
      </c>
      <c r="L316" s="40">
        <v>314</v>
      </c>
      <c r="M316" s="63" t="s">
        <v>2685</v>
      </c>
      <c r="N316" s="64" t="s">
        <v>280</v>
      </c>
      <c r="O316" s="64">
        <v>11216</v>
      </c>
      <c r="Q316" s="40">
        <v>314</v>
      </c>
      <c r="R316" s="63" t="s">
        <v>56</v>
      </c>
      <c r="S316" s="64" t="s">
        <v>942</v>
      </c>
      <c r="T316" s="64">
        <v>10552</v>
      </c>
      <c r="V316" s="67">
        <v>314</v>
      </c>
      <c r="W316" s="63" t="s">
        <v>56</v>
      </c>
      <c r="X316" s="64" t="s">
        <v>981</v>
      </c>
      <c r="Y316" s="64">
        <v>2797</v>
      </c>
    </row>
    <row r="317" spans="7:25" ht="26" x14ac:dyDescent="0.35">
      <c r="G317" s="67">
        <v>315</v>
      </c>
      <c r="H317" s="63" t="s">
        <v>2685</v>
      </c>
      <c r="I317" s="64" t="s">
        <v>684</v>
      </c>
      <c r="J317" s="64">
        <v>10852</v>
      </c>
      <c r="L317" s="40">
        <v>315</v>
      </c>
      <c r="M317" s="63" t="s">
        <v>2685</v>
      </c>
      <c r="N317" s="64" t="s">
        <v>1586</v>
      </c>
      <c r="O317" s="64">
        <v>11698</v>
      </c>
      <c r="Q317" s="40">
        <v>315</v>
      </c>
      <c r="R317" s="63" t="s">
        <v>56</v>
      </c>
      <c r="S317" s="64" t="s">
        <v>944</v>
      </c>
      <c r="T317" s="64">
        <v>8068</v>
      </c>
      <c r="V317" s="67">
        <v>315</v>
      </c>
      <c r="W317" s="63" t="s">
        <v>56</v>
      </c>
      <c r="X317" s="64" t="s">
        <v>2147</v>
      </c>
      <c r="Y317" s="64">
        <v>2799</v>
      </c>
    </row>
    <row r="318" spans="7:25" ht="26" x14ac:dyDescent="0.35">
      <c r="G318" s="67">
        <v>316</v>
      </c>
      <c r="H318" s="63" t="s">
        <v>2685</v>
      </c>
      <c r="I318" s="64" t="s">
        <v>686</v>
      </c>
      <c r="J318" s="64">
        <v>10853</v>
      </c>
      <c r="L318" s="40">
        <v>316</v>
      </c>
      <c r="M318" s="63" t="s">
        <v>2694</v>
      </c>
      <c r="N318" s="64" t="s">
        <v>351</v>
      </c>
      <c r="O318" s="64">
        <v>11134</v>
      </c>
      <c r="Q318" s="40">
        <v>316</v>
      </c>
      <c r="R318" s="63" t="s">
        <v>56</v>
      </c>
      <c r="S318" s="64" t="s">
        <v>946</v>
      </c>
      <c r="T318" s="64">
        <v>2563</v>
      </c>
      <c r="V318" s="67">
        <v>316</v>
      </c>
      <c r="W318" s="63" t="s">
        <v>56</v>
      </c>
      <c r="X318" s="64" t="s">
        <v>988</v>
      </c>
      <c r="Y318" s="64">
        <v>10269</v>
      </c>
    </row>
    <row r="319" spans="7:25" ht="26" x14ac:dyDescent="0.35">
      <c r="G319" s="67">
        <v>317</v>
      </c>
      <c r="H319" s="63" t="s">
        <v>2685</v>
      </c>
      <c r="I319" s="64" t="s">
        <v>689</v>
      </c>
      <c r="J319" s="64">
        <v>10854</v>
      </c>
      <c r="L319" s="40">
        <v>317</v>
      </c>
      <c r="M319" s="63" t="s">
        <v>2694</v>
      </c>
      <c r="N319" s="64" t="s">
        <v>353</v>
      </c>
      <c r="O319" s="64">
        <v>11331</v>
      </c>
      <c r="Q319" s="40">
        <v>317</v>
      </c>
      <c r="R319" s="63" t="s">
        <v>56</v>
      </c>
      <c r="S319" s="64" t="s">
        <v>948</v>
      </c>
      <c r="T319" s="64">
        <v>2399</v>
      </c>
      <c r="V319" s="67">
        <v>317</v>
      </c>
      <c r="W319" s="63" t="s">
        <v>56</v>
      </c>
      <c r="X319" s="64" t="s">
        <v>2215</v>
      </c>
      <c r="Y319" s="64">
        <v>3350</v>
      </c>
    </row>
    <row r="320" spans="7:25" ht="26" x14ac:dyDescent="0.35">
      <c r="G320" s="67">
        <v>318</v>
      </c>
      <c r="H320" s="8" t="s">
        <v>2685</v>
      </c>
      <c r="I320" s="64" t="s">
        <v>2720</v>
      </c>
      <c r="J320" s="64">
        <v>11860</v>
      </c>
      <c r="L320" s="40">
        <v>318</v>
      </c>
      <c r="M320" s="63" t="s">
        <v>2694</v>
      </c>
      <c r="N320" s="64" t="s">
        <v>1422</v>
      </c>
      <c r="O320" s="64">
        <v>11135</v>
      </c>
      <c r="Q320" s="40">
        <v>318</v>
      </c>
      <c r="R320" s="63" t="s">
        <v>56</v>
      </c>
      <c r="S320" s="64" t="s">
        <v>950</v>
      </c>
      <c r="T320" s="64">
        <v>3504</v>
      </c>
      <c r="V320" s="67">
        <v>318</v>
      </c>
      <c r="W320" s="63" t="s">
        <v>56</v>
      </c>
      <c r="X320" s="64" t="s">
        <v>2148</v>
      </c>
      <c r="Y320" s="64">
        <v>2800</v>
      </c>
    </row>
    <row r="321" spans="7:25" ht="26" x14ac:dyDescent="0.35">
      <c r="G321" s="67">
        <v>319</v>
      </c>
      <c r="H321" s="63" t="s">
        <v>2685</v>
      </c>
      <c r="I321" s="64" t="s">
        <v>692</v>
      </c>
      <c r="J321" s="64">
        <v>10855</v>
      </c>
      <c r="L321" s="40">
        <v>319</v>
      </c>
      <c r="M321" s="63" t="s">
        <v>2694</v>
      </c>
      <c r="N321" s="64" t="s">
        <v>1423</v>
      </c>
      <c r="O321" s="64">
        <v>11136</v>
      </c>
      <c r="Q321" s="40">
        <v>319</v>
      </c>
      <c r="R321" s="63" t="s">
        <v>56</v>
      </c>
      <c r="S321" s="64" t="s">
        <v>954</v>
      </c>
      <c r="T321" s="64">
        <v>8148</v>
      </c>
      <c r="V321" s="67">
        <v>319</v>
      </c>
      <c r="W321" s="63" t="s">
        <v>56</v>
      </c>
      <c r="X321" s="64" t="s">
        <v>993</v>
      </c>
      <c r="Y321" s="64">
        <v>10272</v>
      </c>
    </row>
    <row r="322" spans="7:25" ht="26" x14ac:dyDescent="0.35">
      <c r="G322" s="67">
        <v>320</v>
      </c>
      <c r="H322" s="63" t="s">
        <v>2685</v>
      </c>
      <c r="I322" s="64" t="s">
        <v>2552</v>
      </c>
      <c r="J322" s="64">
        <v>11755</v>
      </c>
      <c r="L322" s="40">
        <v>320</v>
      </c>
      <c r="M322" s="63" t="s">
        <v>2694</v>
      </c>
      <c r="N322" s="64" t="s">
        <v>361</v>
      </c>
      <c r="O322" s="64">
        <v>11137</v>
      </c>
      <c r="Q322" s="40">
        <v>320</v>
      </c>
      <c r="R322" s="63" t="s">
        <v>56</v>
      </c>
      <c r="S322" s="64" t="s">
        <v>956</v>
      </c>
      <c r="T322" s="64">
        <v>8090</v>
      </c>
      <c r="V322" s="67">
        <v>320</v>
      </c>
      <c r="W322" s="63" t="s">
        <v>56</v>
      </c>
      <c r="X322" s="64" t="s">
        <v>2149</v>
      </c>
      <c r="Y322" s="64">
        <v>3351</v>
      </c>
    </row>
    <row r="323" spans="7:25" ht="26" x14ac:dyDescent="0.35">
      <c r="G323" s="67">
        <v>321</v>
      </c>
      <c r="H323" s="63" t="s">
        <v>2685</v>
      </c>
      <c r="I323" s="64" t="s">
        <v>2550</v>
      </c>
      <c r="J323" s="64">
        <v>11753</v>
      </c>
      <c r="L323" s="40">
        <v>321</v>
      </c>
      <c r="M323" s="63" t="s">
        <v>2694</v>
      </c>
      <c r="N323" s="64" t="s">
        <v>364</v>
      </c>
      <c r="O323" s="64">
        <v>11138</v>
      </c>
      <c r="Q323" s="40">
        <v>321</v>
      </c>
      <c r="R323" s="63" t="s">
        <v>56</v>
      </c>
      <c r="S323" s="64" t="s">
        <v>959</v>
      </c>
      <c r="T323" s="64">
        <v>8137</v>
      </c>
      <c r="V323" s="67">
        <v>321</v>
      </c>
      <c r="W323" s="63" t="s">
        <v>56</v>
      </c>
      <c r="X323" s="64" t="s">
        <v>2216</v>
      </c>
      <c r="Y323" s="64">
        <v>2803</v>
      </c>
    </row>
    <row r="324" spans="7:25" ht="26" x14ac:dyDescent="0.35">
      <c r="G324" s="67">
        <v>322</v>
      </c>
      <c r="H324" s="63" t="s">
        <v>2685</v>
      </c>
      <c r="I324" s="64" t="s">
        <v>1506</v>
      </c>
      <c r="J324" s="64">
        <v>11540</v>
      </c>
      <c r="L324" s="40">
        <v>322</v>
      </c>
      <c r="M324" s="63" t="s">
        <v>2694</v>
      </c>
      <c r="N324" s="64" t="s">
        <v>1424</v>
      </c>
      <c r="O324" s="64">
        <v>11139</v>
      </c>
      <c r="Q324" s="40">
        <v>322</v>
      </c>
      <c r="R324" s="63" t="s">
        <v>56</v>
      </c>
      <c r="S324" s="64" t="s">
        <v>961</v>
      </c>
      <c r="T324" s="64">
        <v>2569</v>
      </c>
      <c r="V324" s="67">
        <v>322</v>
      </c>
      <c r="W324" s="63" t="s">
        <v>56</v>
      </c>
      <c r="X324" s="64" t="s">
        <v>2217</v>
      </c>
      <c r="Y324" s="64">
        <v>2804</v>
      </c>
    </row>
    <row r="325" spans="7:25" ht="26" x14ac:dyDescent="0.35">
      <c r="G325" s="67">
        <v>323</v>
      </c>
      <c r="H325" s="63" t="s">
        <v>2685</v>
      </c>
      <c r="I325" s="64" t="s">
        <v>699</v>
      </c>
      <c r="J325" s="64">
        <v>10856</v>
      </c>
      <c r="L325" s="40">
        <v>323</v>
      </c>
      <c r="M325" s="63" t="s">
        <v>2694</v>
      </c>
      <c r="N325" s="64" t="s">
        <v>369</v>
      </c>
      <c r="O325" s="64">
        <v>11326</v>
      </c>
      <c r="Q325" s="40">
        <v>323</v>
      </c>
      <c r="R325" s="63" t="s">
        <v>56</v>
      </c>
      <c r="S325" s="64" t="s">
        <v>965</v>
      </c>
      <c r="T325" s="64">
        <v>2574</v>
      </c>
      <c r="V325" s="67">
        <v>323</v>
      </c>
      <c r="W325" s="63" t="s">
        <v>56</v>
      </c>
      <c r="X325" s="64" t="s">
        <v>2218</v>
      </c>
      <c r="Y325" s="64">
        <v>2805</v>
      </c>
    </row>
    <row r="326" spans="7:25" ht="26" x14ac:dyDescent="0.35">
      <c r="G326" s="67">
        <v>324</v>
      </c>
      <c r="H326" s="63" t="s">
        <v>2685</v>
      </c>
      <c r="I326" s="64" t="s">
        <v>1507</v>
      </c>
      <c r="J326" s="64">
        <v>11541</v>
      </c>
      <c r="L326" s="40">
        <v>324</v>
      </c>
      <c r="M326" s="63" t="s">
        <v>2694</v>
      </c>
      <c r="N326" s="64" t="s">
        <v>1425</v>
      </c>
      <c r="O326" s="64">
        <v>11140</v>
      </c>
      <c r="Q326" s="40">
        <v>324</v>
      </c>
      <c r="R326" s="63" t="s">
        <v>56</v>
      </c>
      <c r="S326" s="64" t="s">
        <v>968</v>
      </c>
      <c r="T326" s="64">
        <v>2066</v>
      </c>
      <c r="V326" s="67">
        <v>324</v>
      </c>
      <c r="W326" s="63" t="s">
        <v>56</v>
      </c>
      <c r="X326" s="64" t="s">
        <v>2134</v>
      </c>
      <c r="Y326" s="64">
        <v>2791</v>
      </c>
    </row>
    <row r="327" spans="7:25" ht="26" x14ac:dyDescent="0.35">
      <c r="G327" s="67">
        <v>325</v>
      </c>
      <c r="H327" s="8" t="s">
        <v>2685</v>
      </c>
      <c r="I327" s="64" t="s">
        <v>2719</v>
      </c>
      <c r="J327" s="64">
        <v>11859</v>
      </c>
      <c r="L327" s="40">
        <v>325</v>
      </c>
      <c r="M327" s="63" t="s">
        <v>2694</v>
      </c>
      <c r="N327" s="64" t="s">
        <v>377</v>
      </c>
      <c r="O327" s="64">
        <v>11332</v>
      </c>
      <c r="Q327" s="40">
        <v>325</v>
      </c>
      <c r="R327" s="63" t="s">
        <v>56</v>
      </c>
      <c r="S327" s="64" t="s">
        <v>970</v>
      </c>
      <c r="T327" s="64">
        <v>10143</v>
      </c>
      <c r="V327" s="67">
        <v>325</v>
      </c>
      <c r="W327" s="63" t="s">
        <v>56</v>
      </c>
      <c r="X327" s="64" t="s">
        <v>2150</v>
      </c>
      <c r="Y327" s="64">
        <v>2807</v>
      </c>
    </row>
    <row r="328" spans="7:25" ht="26" x14ac:dyDescent="0.35">
      <c r="G328" s="67">
        <v>326</v>
      </c>
      <c r="H328" s="63" t="s">
        <v>2685</v>
      </c>
      <c r="I328" s="64" t="s">
        <v>704</v>
      </c>
      <c r="J328" s="64">
        <v>10859</v>
      </c>
      <c r="L328" s="40">
        <v>326</v>
      </c>
      <c r="M328" s="63" t="s">
        <v>2694</v>
      </c>
      <c r="N328" s="64" t="s">
        <v>374</v>
      </c>
      <c r="O328" s="64">
        <v>11327</v>
      </c>
      <c r="Q328" s="40">
        <v>326</v>
      </c>
      <c r="R328" s="63" t="s">
        <v>56</v>
      </c>
      <c r="S328" s="64" t="s">
        <v>974</v>
      </c>
      <c r="T328" s="64">
        <v>10547</v>
      </c>
      <c r="V328" s="67">
        <v>326</v>
      </c>
      <c r="W328" s="63" t="s">
        <v>56</v>
      </c>
      <c r="X328" s="64" t="s">
        <v>2233</v>
      </c>
      <c r="Y328" s="64">
        <v>8307</v>
      </c>
    </row>
    <row r="329" spans="7:25" ht="26" x14ac:dyDescent="0.35">
      <c r="G329" s="67">
        <v>327</v>
      </c>
      <c r="H329" s="63" t="s">
        <v>2685</v>
      </c>
      <c r="I329" s="64" t="s">
        <v>1478</v>
      </c>
      <c r="J329" s="64">
        <v>11511</v>
      </c>
      <c r="L329" s="40">
        <v>327</v>
      </c>
      <c r="M329" s="63" t="s">
        <v>2694</v>
      </c>
      <c r="N329" s="64" t="s">
        <v>381</v>
      </c>
      <c r="O329" s="64">
        <v>11328</v>
      </c>
      <c r="Q329" s="40">
        <v>327</v>
      </c>
      <c r="R329" s="63" t="s">
        <v>56</v>
      </c>
      <c r="S329" s="64" t="s">
        <v>976</v>
      </c>
      <c r="T329" s="64">
        <v>8041</v>
      </c>
      <c r="V329" s="67">
        <v>327</v>
      </c>
      <c r="W329" s="63" t="s">
        <v>56</v>
      </c>
      <c r="X329" s="64" t="s">
        <v>2219</v>
      </c>
      <c r="Y329" s="64">
        <v>2808</v>
      </c>
    </row>
    <row r="330" spans="7:25" ht="26" x14ac:dyDescent="0.35">
      <c r="G330" s="67">
        <v>328</v>
      </c>
      <c r="H330" s="63" t="s">
        <v>2685</v>
      </c>
      <c r="I330" s="64" t="s">
        <v>706</v>
      </c>
      <c r="J330" s="64">
        <v>11186</v>
      </c>
      <c r="L330" s="40">
        <v>328</v>
      </c>
      <c r="M330" s="63" t="s">
        <v>2694</v>
      </c>
      <c r="N330" s="64" t="s">
        <v>1426</v>
      </c>
      <c r="O330" s="64">
        <v>11141</v>
      </c>
      <c r="Q330" s="40">
        <v>328</v>
      </c>
      <c r="R330" s="63" t="s">
        <v>56</v>
      </c>
      <c r="S330" s="64" t="s">
        <v>978</v>
      </c>
      <c r="T330" s="64">
        <v>8005</v>
      </c>
      <c r="V330" s="67">
        <v>328</v>
      </c>
      <c r="W330" s="63" t="s">
        <v>56</v>
      </c>
      <c r="X330" s="64" t="s">
        <v>2220</v>
      </c>
      <c r="Y330" s="64">
        <v>2306</v>
      </c>
    </row>
    <row r="331" spans="7:25" ht="26" x14ac:dyDescent="0.35">
      <c r="G331" s="67">
        <v>329</v>
      </c>
      <c r="H331" s="63" t="s">
        <v>2685</v>
      </c>
      <c r="I331" s="64" t="s">
        <v>1508</v>
      </c>
      <c r="J331" s="64">
        <v>11542</v>
      </c>
      <c r="L331" s="40">
        <v>329</v>
      </c>
      <c r="M331" s="63" t="s">
        <v>2694</v>
      </c>
      <c r="N331" s="64" t="s">
        <v>385</v>
      </c>
      <c r="O331" s="64">
        <v>11142</v>
      </c>
      <c r="Q331" s="40">
        <v>329</v>
      </c>
      <c r="R331" s="63" t="s">
        <v>56</v>
      </c>
      <c r="S331" s="64" t="s">
        <v>980</v>
      </c>
      <c r="T331" s="64">
        <v>2579</v>
      </c>
      <c r="V331" s="67">
        <v>329</v>
      </c>
      <c r="W331" s="63" t="s">
        <v>56</v>
      </c>
      <c r="X331" s="64" t="s">
        <v>2221</v>
      </c>
      <c r="Y331" s="64">
        <v>8316</v>
      </c>
    </row>
    <row r="332" spans="7:25" ht="26" x14ac:dyDescent="0.35">
      <c r="G332" s="67">
        <v>330</v>
      </c>
      <c r="H332" s="63" t="s">
        <v>2685</v>
      </c>
      <c r="I332" s="64" t="s">
        <v>2551</v>
      </c>
      <c r="J332" s="64">
        <v>11754</v>
      </c>
      <c r="L332" s="40">
        <v>330</v>
      </c>
      <c r="M332" s="63" t="s">
        <v>2694</v>
      </c>
      <c r="N332" s="64" t="s">
        <v>388</v>
      </c>
      <c r="O332" s="64">
        <v>11329</v>
      </c>
      <c r="Q332" s="40">
        <v>330</v>
      </c>
      <c r="R332" s="63" t="s">
        <v>56</v>
      </c>
      <c r="S332" s="64" t="s">
        <v>985</v>
      </c>
      <c r="T332" s="64">
        <v>10580</v>
      </c>
      <c r="V332" s="67">
        <v>330</v>
      </c>
      <c r="W332" s="63" t="s">
        <v>56</v>
      </c>
      <c r="X332" s="64" t="s">
        <v>2222</v>
      </c>
      <c r="Y332" s="64">
        <v>2810</v>
      </c>
    </row>
    <row r="333" spans="7:25" ht="26" x14ac:dyDescent="0.35">
      <c r="G333" s="67">
        <v>331</v>
      </c>
      <c r="H333" s="63" t="s">
        <v>2685</v>
      </c>
      <c r="I333" s="64" t="s">
        <v>711</v>
      </c>
      <c r="J333" s="64">
        <v>10862</v>
      </c>
      <c r="L333" s="40">
        <v>331</v>
      </c>
      <c r="M333" s="63" t="s">
        <v>2694</v>
      </c>
      <c r="N333" s="64" t="s">
        <v>391</v>
      </c>
      <c r="O333" s="64">
        <v>11361</v>
      </c>
      <c r="Q333" s="40">
        <v>331</v>
      </c>
      <c r="R333" s="63" t="s">
        <v>56</v>
      </c>
      <c r="S333" s="64" t="s">
        <v>987</v>
      </c>
      <c r="T333" s="64">
        <v>3520</v>
      </c>
      <c r="V333" s="67">
        <v>331</v>
      </c>
      <c r="W333" s="63" t="s">
        <v>56</v>
      </c>
      <c r="X333" s="64" t="s">
        <v>2223</v>
      </c>
      <c r="Y333" s="64">
        <v>3352</v>
      </c>
    </row>
    <row r="334" spans="7:25" ht="26" x14ac:dyDescent="0.35">
      <c r="G334" s="67">
        <v>332</v>
      </c>
      <c r="H334" s="63" t="s">
        <v>2685</v>
      </c>
      <c r="I334" s="64" t="s">
        <v>713</v>
      </c>
      <c r="J334" s="64">
        <v>10863</v>
      </c>
      <c r="L334" s="40">
        <v>332</v>
      </c>
      <c r="M334" s="63" t="s">
        <v>2694</v>
      </c>
      <c r="N334" s="64" t="s">
        <v>1427</v>
      </c>
      <c r="O334" s="64">
        <v>11143</v>
      </c>
      <c r="Q334" s="40">
        <v>332</v>
      </c>
      <c r="R334" s="63" t="s">
        <v>56</v>
      </c>
      <c r="S334" s="64" t="s">
        <v>990</v>
      </c>
      <c r="T334" s="64">
        <v>3067</v>
      </c>
      <c r="V334" s="67">
        <v>332</v>
      </c>
      <c r="W334" s="63" t="s">
        <v>56</v>
      </c>
      <c r="X334" s="64" t="s">
        <v>2224</v>
      </c>
      <c r="Y334" s="64">
        <v>2811</v>
      </c>
    </row>
    <row r="335" spans="7:25" ht="26" x14ac:dyDescent="0.35">
      <c r="G335" s="67">
        <v>333</v>
      </c>
      <c r="H335" s="63" t="s">
        <v>2685</v>
      </c>
      <c r="I335" s="64" t="s">
        <v>715</v>
      </c>
      <c r="J335" s="64">
        <v>10864</v>
      </c>
      <c r="L335" s="40">
        <v>333</v>
      </c>
      <c r="M335" s="63" t="s">
        <v>2694</v>
      </c>
      <c r="N335" s="64" t="s">
        <v>1428</v>
      </c>
      <c r="O335" s="64">
        <v>11144</v>
      </c>
      <c r="Q335" s="40">
        <v>333</v>
      </c>
      <c r="R335" s="63" t="s">
        <v>56</v>
      </c>
      <c r="S335" s="64" t="s">
        <v>1007</v>
      </c>
      <c r="T335" s="64">
        <v>8047</v>
      </c>
      <c r="V335" s="67">
        <v>333</v>
      </c>
      <c r="W335" s="63" t="s">
        <v>56</v>
      </c>
      <c r="X335" s="64" t="s">
        <v>2225</v>
      </c>
      <c r="Y335" s="64">
        <v>2812</v>
      </c>
    </row>
    <row r="336" spans="7:25" ht="26" x14ac:dyDescent="0.35">
      <c r="G336" s="67">
        <v>334</v>
      </c>
      <c r="H336" s="63" t="s">
        <v>2685</v>
      </c>
      <c r="I336" s="64" t="s">
        <v>716</v>
      </c>
      <c r="J336" s="64">
        <v>10865</v>
      </c>
      <c r="L336" s="40">
        <v>334</v>
      </c>
      <c r="M336" s="63" t="s">
        <v>2694</v>
      </c>
      <c r="N336" s="64" t="s">
        <v>398</v>
      </c>
      <c r="O336" s="64">
        <v>11145</v>
      </c>
      <c r="Q336" s="40">
        <v>334</v>
      </c>
      <c r="R336" s="63" t="s">
        <v>56</v>
      </c>
      <c r="S336" s="64" t="s">
        <v>1009</v>
      </c>
      <c r="T336" s="64">
        <v>3525</v>
      </c>
      <c r="V336" s="67">
        <v>334</v>
      </c>
      <c r="W336" s="63" t="s">
        <v>56</v>
      </c>
      <c r="X336" s="64" t="s">
        <v>2227</v>
      </c>
      <c r="Y336" s="64">
        <v>3353</v>
      </c>
    </row>
    <row r="337" spans="7:25" ht="26" x14ac:dyDescent="0.35">
      <c r="G337" s="67">
        <v>335</v>
      </c>
      <c r="H337" s="63" t="s">
        <v>2685</v>
      </c>
      <c r="I337" s="64" t="s">
        <v>2662</v>
      </c>
      <c r="J337" s="64">
        <v>11825</v>
      </c>
      <c r="L337" s="40">
        <v>335</v>
      </c>
      <c r="M337" s="63" t="s">
        <v>2694</v>
      </c>
      <c r="N337" s="64" t="s">
        <v>1429</v>
      </c>
      <c r="O337" s="64">
        <v>11146</v>
      </c>
      <c r="Q337" s="40">
        <v>335</v>
      </c>
      <c r="R337" s="63" t="s">
        <v>56</v>
      </c>
      <c r="S337" s="64" t="s">
        <v>1013</v>
      </c>
      <c r="T337" s="64">
        <v>10085</v>
      </c>
      <c r="V337" s="67">
        <v>335</v>
      </c>
      <c r="W337" s="63" t="s">
        <v>56</v>
      </c>
      <c r="X337" s="64" t="s">
        <v>2226</v>
      </c>
      <c r="Y337" s="64">
        <v>8278</v>
      </c>
    </row>
    <row r="338" spans="7:25" ht="26" x14ac:dyDescent="0.35">
      <c r="G338" s="67">
        <v>336</v>
      </c>
      <c r="H338" s="63" t="s">
        <v>2685</v>
      </c>
      <c r="I338" s="64" t="s">
        <v>718</v>
      </c>
      <c r="J338" s="64">
        <v>10866</v>
      </c>
      <c r="L338" s="40">
        <v>336</v>
      </c>
      <c r="M338" s="63" t="s">
        <v>2694</v>
      </c>
      <c r="N338" s="64" t="s">
        <v>403</v>
      </c>
      <c r="O338" s="64">
        <v>11147</v>
      </c>
      <c r="Q338" s="40">
        <v>336</v>
      </c>
      <c r="R338" s="63" t="s">
        <v>56</v>
      </c>
      <c r="S338" s="64" t="s">
        <v>1021</v>
      </c>
      <c r="T338" s="64">
        <v>10187</v>
      </c>
      <c r="V338" s="67">
        <v>336</v>
      </c>
      <c r="W338" s="63" t="s">
        <v>56</v>
      </c>
      <c r="X338" s="64" t="s">
        <v>535</v>
      </c>
      <c r="Y338" s="64">
        <v>3357</v>
      </c>
    </row>
    <row r="339" spans="7:25" ht="39" x14ac:dyDescent="0.35">
      <c r="G339" s="67">
        <v>337</v>
      </c>
      <c r="H339" s="63" t="s">
        <v>2685</v>
      </c>
      <c r="I339" s="64" t="s">
        <v>2664</v>
      </c>
      <c r="J339" s="64">
        <v>11827</v>
      </c>
      <c r="L339" s="40">
        <v>337</v>
      </c>
      <c r="M339" s="63" t="s">
        <v>2694</v>
      </c>
      <c r="N339" s="64" t="s">
        <v>1419</v>
      </c>
      <c r="O339" s="64">
        <v>11476</v>
      </c>
      <c r="Q339" s="40">
        <v>337</v>
      </c>
      <c r="R339" s="63" t="s">
        <v>56</v>
      </c>
      <c r="S339" s="64" t="s">
        <v>1026</v>
      </c>
      <c r="T339" s="64">
        <v>10171</v>
      </c>
      <c r="V339" s="67">
        <v>337</v>
      </c>
      <c r="W339" s="63" t="s">
        <v>56</v>
      </c>
      <c r="X339" s="64" t="s">
        <v>2228</v>
      </c>
      <c r="Y339" s="64">
        <v>2814</v>
      </c>
    </row>
    <row r="340" spans="7:25" ht="26" x14ac:dyDescent="0.35">
      <c r="G340" s="67">
        <v>338</v>
      </c>
      <c r="H340" s="63" t="s">
        <v>2685</v>
      </c>
      <c r="I340" s="64" t="s">
        <v>1808</v>
      </c>
      <c r="J340" s="64">
        <v>11732</v>
      </c>
      <c r="L340" s="40">
        <v>338</v>
      </c>
      <c r="M340" s="63" t="s">
        <v>2694</v>
      </c>
      <c r="N340" s="64" t="s">
        <v>406</v>
      </c>
      <c r="O340" s="64">
        <v>11148</v>
      </c>
      <c r="Q340" s="40">
        <v>338</v>
      </c>
      <c r="R340" s="63" t="s">
        <v>56</v>
      </c>
      <c r="S340" s="64" t="s">
        <v>1028</v>
      </c>
      <c r="T340" s="64">
        <v>2607</v>
      </c>
      <c r="V340" s="67">
        <v>338</v>
      </c>
      <c r="W340" s="63" t="s">
        <v>56</v>
      </c>
      <c r="X340" s="64" t="s">
        <v>2229</v>
      </c>
      <c r="Y340" s="64">
        <v>2815</v>
      </c>
    </row>
    <row r="341" spans="7:25" ht="26" x14ac:dyDescent="0.35">
      <c r="G341" s="67">
        <v>339</v>
      </c>
      <c r="H341" s="63" t="s">
        <v>2685</v>
      </c>
      <c r="I341" s="64" t="s">
        <v>2663</v>
      </c>
      <c r="J341" s="64">
        <v>11826</v>
      </c>
      <c r="L341" s="40">
        <v>339</v>
      </c>
      <c r="M341" s="63" t="s">
        <v>2694</v>
      </c>
      <c r="N341" s="64" t="s">
        <v>409</v>
      </c>
      <c r="O341" s="64">
        <v>11333</v>
      </c>
      <c r="Q341" s="40">
        <v>339</v>
      </c>
      <c r="R341" s="63" t="s">
        <v>56</v>
      </c>
      <c r="S341" s="64" t="s">
        <v>1030</v>
      </c>
      <c r="T341" s="64">
        <v>10575</v>
      </c>
      <c r="V341" s="67">
        <v>339</v>
      </c>
      <c r="W341" s="63" t="s">
        <v>56</v>
      </c>
      <c r="X341" s="64" t="s">
        <v>2230</v>
      </c>
      <c r="Y341" s="64">
        <v>3359</v>
      </c>
    </row>
    <row r="342" spans="7:25" ht="26" x14ac:dyDescent="0.35">
      <c r="G342" s="67">
        <v>340</v>
      </c>
      <c r="H342" s="63" t="s">
        <v>2685</v>
      </c>
      <c r="I342" s="64" t="s">
        <v>1509</v>
      </c>
      <c r="J342" s="64">
        <v>11543</v>
      </c>
      <c r="L342" s="40">
        <v>340</v>
      </c>
      <c r="M342" s="63" t="s">
        <v>2694</v>
      </c>
      <c r="N342" s="64" t="s">
        <v>412</v>
      </c>
      <c r="O342" s="64">
        <v>11149</v>
      </c>
      <c r="Q342" s="40">
        <v>340</v>
      </c>
      <c r="R342" s="63" t="s">
        <v>56</v>
      </c>
      <c r="S342" s="64" t="s">
        <v>1032</v>
      </c>
      <c r="T342" s="64">
        <v>2611</v>
      </c>
      <c r="V342" s="67">
        <v>340</v>
      </c>
      <c r="W342" s="63" t="s">
        <v>56</v>
      </c>
      <c r="X342" s="64" t="s">
        <v>2231</v>
      </c>
      <c r="Y342" s="64">
        <v>2298</v>
      </c>
    </row>
    <row r="343" spans="7:25" ht="26" x14ac:dyDescent="0.35">
      <c r="G343" s="67">
        <v>341</v>
      </c>
      <c r="H343" s="63" t="s">
        <v>2685</v>
      </c>
      <c r="I343" s="64" t="s">
        <v>720</v>
      </c>
      <c r="J343" s="64">
        <v>11190</v>
      </c>
      <c r="L343" s="40">
        <v>341</v>
      </c>
      <c r="M343" s="63" t="s">
        <v>2694</v>
      </c>
      <c r="N343" s="64" t="s">
        <v>414</v>
      </c>
      <c r="O343" s="64">
        <v>11330</v>
      </c>
      <c r="Q343" s="40">
        <v>341</v>
      </c>
      <c r="R343" s="63" t="s">
        <v>56</v>
      </c>
      <c r="S343" s="64" t="s">
        <v>1034</v>
      </c>
      <c r="T343" s="64">
        <v>3537</v>
      </c>
      <c r="V343" s="67">
        <v>341</v>
      </c>
      <c r="W343" s="63" t="s">
        <v>56</v>
      </c>
      <c r="X343" s="64" t="s">
        <v>2151</v>
      </c>
      <c r="Y343" s="64">
        <v>2816</v>
      </c>
    </row>
    <row r="344" spans="7:25" ht="26" x14ac:dyDescent="0.35">
      <c r="G344" s="67">
        <v>342</v>
      </c>
      <c r="H344" s="63" t="s">
        <v>2685</v>
      </c>
      <c r="I344" s="64" t="s">
        <v>722</v>
      </c>
      <c r="J344" s="64">
        <v>11189</v>
      </c>
      <c r="L344" s="40">
        <v>342</v>
      </c>
      <c r="M344" s="63" t="s">
        <v>2694</v>
      </c>
      <c r="N344" s="64" t="s">
        <v>1430</v>
      </c>
      <c r="O344" s="64">
        <v>11150</v>
      </c>
      <c r="Q344" s="40">
        <v>342</v>
      </c>
      <c r="R344" s="63" t="s">
        <v>56</v>
      </c>
      <c r="S344" s="64" t="s">
        <v>1036</v>
      </c>
      <c r="T344" s="64">
        <v>8006</v>
      </c>
      <c r="V344" s="67">
        <v>342</v>
      </c>
      <c r="W344" s="63" t="s">
        <v>56</v>
      </c>
      <c r="X344" s="64" t="s">
        <v>1044</v>
      </c>
      <c r="Y344" s="64">
        <v>10275</v>
      </c>
    </row>
    <row r="345" spans="7:25" ht="26" x14ac:dyDescent="0.35">
      <c r="G345" s="67">
        <v>343</v>
      </c>
      <c r="H345" s="63" t="s">
        <v>2685</v>
      </c>
      <c r="I345" s="64" t="s">
        <v>724</v>
      </c>
      <c r="J345" s="64">
        <v>11188</v>
      </c>
      <c r="L345" s="40">
        <v>343</v>
      </c>
      <c r="M345" s="63" t="s">
        <v>2694</v>
      </c>
      <c r="N345" s="64" t="s">
        <v>1357</v>
      </c>
      <c r="O345" s="64" t="s">
        <v>1401</v>
      </c>
      <c r="Q345" s="40">
        <v>343</v>
      </c>
      <c r="R345" s="63" t="s">
        <v>56</v>
      </c>
      <c r="S345" s="64" t="s">
        <v>1038</v>
      </c>
      <c r="T345" s="64">
        <v>10574</v>
      </c>
      <c r="V345" s="67">
        <v>343</v>
      </c>
      <c r="W345" s="63" t="s">
        <v>56</v>
      </c>
      <c r="X345" s="64" t="s">
        <v>2234</v>
      </c>
      <c r="Y345" s="64">
        <v>2300</v>
      </c>
    </row>
    <row r="346" spans="7:25" ht="26" x14ac:dyDescent="0.35">
      <c r="G346" s="67">
        <v>344</v>
      </c>
      <c r="H346" s="63" t="s">
        <v>2685</v>
      </c>
      <c r="I346" s="64" t="s">
        <v>116</v>
      </c>
      <c r="J346" s="64">
        <v>11191</v>
      </c>
      <c r="L346" s="40">
        <v>344</v>
      </c>
      <c r="M346" s="63" t="s">
        <v>2694</v>
      </c>
      <c r="N346" s="64" t="s">
        <v>419</v>
      </c>
      <c r="O346" s="64">
        <v>11151</v>
      </c>
      <c r="Q346" s="40">
        <v>344</v>
      </c>
      <c r="R346" s="63" t="s">
        <v>56</v>
      </c>
      <c r="S346" s="64" t="s">
        <v>1040</v>
      </c>
      <c r="T346" s="64">
        <v>9974</v>
      </c>
      <c r="V346" s="67">
        <v>344</v>
      </c>
      <c r="W346" s="63" t="s">
        <v>56</v>
      </c>
      <c r="X346" s="64" t="s">
        <v>2235</v>
      </c>
      <c r="Y346" s="64">
        <v>8317</v>
      </c>
    </row>
    <row r="347" spans="7:25" ht="26" x14ac:dyDescent="0.35">
      <c r="G347" s="67">
        <v>345</v>
      </c>
      <c r="H347" s="63" t="s">
        <v>2685</v>
      </c>
      <c r="I347" s="64" t="s">
        <v>726</v>
      </c>
      <c r="J347" s="64">
        <v>10867</v>
      </c>
      <c r="L347" s="40">
        <v>345</v>
      </c>
      <c r="M347" s="63" t="s">
        <v>2694</v>
      </c>
      <c r="N347" s="64" t="s">
        <v>1431</v>
      </c>
      <c r="O347" s="64">
        <v>11152</v>
      </c>
      <c r="Q347" s="40">
        <v>345</v>
      </c>
      <c r="R347" s="63" t="s">
        <v>56</v>
      </c>
      <c r="S347" s="64" t="s">
        <v>1042</v>
      </c>
      <c r="T347" s="64">
        <v>10567</v>
      </c>
      <c r="V347" s="67">
        <v>345</v>
      </c>
      <c r="W347" s="63" t="s">
        <v>56</v>
      </c>
      <c r="X347" s="64" t="s">
        <v>2236</v>
      </c>
      <c r="Y347" s="64">
        <v>8179</v>
      </c>
    </row>
    <row r="348" spans="7:25" ht="26" x14ac:dyDescent="0.35">
      <c r="G348" s="67">
        <v>346</v>
      </c>
      <c r="H348" s="63" t="s">
        <v>2685</v>
      </c>
      <c r="I348" s="64" t="s">
        <v>728</v>
      </c>
      <c r="J348" s="64">
        <v>10868</v>
      </c>
      <c r="L348" s="40">
        <v>346</v>
      </c>
      <c r="M348" s="63" t="s">
        <v>2694</v>
      </c>
      <c r="N348" s="64" t="s">
        <v>424</v>
      </c>
      <c r="O348" s="64">
        <v>11153</v>
      </c>
      <c r="Q348" s="40">
        <v>346</v>
      </c>
      <c r="R348" s="63" t="s">
        <v>56</v>
      </c>
      <c r="S348" s="64" t="s">
        <v>1046</v>
      </c>
      <c r="T348" s="64">
        <v>3543</v>
      </c>
      <c r="V348" s="67">
        <v>346</v>
      </c>
      <c r="W348" s="63" t="s">
        <v>56</v>
      </c>
      <c r="X348" s="64" t="s">
        <v>2237</v>
      </c>
      <c r="Y348" s="64">
        <v>10120</v>
      </c>
    </row>
    <row r="349" spans="7:25" ht="26" x14ac:dyDescent="0.35">
      <c r="G349" s="67">
        <v>347</v>
      </c>
      <c r="H349" s="63" t="s">
        <v>2685</v>
      </c>
      <c r="I349" s="64" t="s">
        <v>730</v>
      </c>
      <c r="J349" s="64">
        <v>10869</v>
      </c>
      <c r="L349" s="40">
        <v>347</v>
      </c>
      <c r="M349" s="63" t="s">
        <v>2694</v>
      </c>
      <c r="N349" s="64" t="s">
        <v>1432</v>
      </c>
      <c r="O349" s="64">
        <v>11154</v>
      </c>
      <c r="Q349" s="40">
        <v>347</v>
      </c>
      <c r="R349" s="63" t="s">
        <v>56</v>
      </c>
      <c r="S349" s="64" t="s">
        <v>1048</v>
      </c>
      <c r="T349" s="64">
        <v>10544</v>
      </c>
      <c r="V349" s="67">
        <v>347</v>
      </c>
      <c r="W349" s="63" t="s">
        <v>56</v>
      </c>
      <c r="X349" s="64" t="s">
        <v>2247</v>
      </c>
      <c r="Y349" s="64">
        <v>2824</v>
      </c>
    </row>
    <row r="350" spans="7:25" ht="26" x14ac:dyDescent="0.35">
      <c r="G350" s="67">
        <v>348</v>
      </c>
      <c r="H350" s="63" t="s">
        <v>2685</v>
      </c>
      <c r="I350" s="64" t="s">
        <v>1655</v>
      </c>
      <c r="J350" s="64">
        <v>11661</v>
      </c>
      <c r="L350" s="40">
        <v>348</v>
      </c>
      <c r="M350" s="63" t="s">
        <v>2694</v>
      </c>
      <c r="N350" s="64" t="s">
        <v>429</v>
      </c>
      <c r="O350" s="64">
        <v>11360</v>
      </c>
      <c r="Q350" s="40">
        <v>348</v>
      </c>
      <c r="R350" s="63" t="s">
        <v>56</v>
      </c>
      <c r="S350" s="64" t="s">
        <v>1050</v>
      </c>
      <c r="T350" s="64">
        <v>10558</v>
      </c>
      <c r="V350" s="67">
        <v>348</v>
      </c>
      <c r="W350" s="63" t="s">
        <v>56</v>
      </c>
      <c r="X350" s="64" t="s">
        <v>2153</v>
      </c>
      <c r="Y350" s="64">
        <v>2819</v>
      </c>
    </row>
    <row r="351" spans="7:25" ht="26" x14ac:dyDescent="0.35">
      <c r="G351" s="67">
        <v>349</v>
      </c>
      <c r="H351" s="63" t="s">
        <v>2685</v>
      </c>
      <c r="I351" s="64" t="s">
        <v>1562</v>
      </c>
      <c r="J351" s="64">
        <v>11389</v>
      </c>
      <c r="L351" s="40">
        <v>349</v>
      </c>
      <c r="M351" s="63" t="s">
        <v>2694</v>
      </c>
      <c r="N351" s="64" t="s">
        <v>431</v>
      </c>
      <c r="O351" s="64">
        <v>11155</v>
      </c>
      <c r="Q351" s="40">
        <v>349</v>
      </c>
      <c r="R351" s="63" t="s">
        <v>56</v>
      </c>
      <c r="S351" s="64" t="s">
        <v>1052</v>
      </c>
      <c r="T351" s="64">
        <v>10545</v>
      </c>
      <c r="V351" s="67">
        <v>349</v>
      </c>
      <c r="W351" s="63" t="s">
        <v>56</v>
      </c>
      <c r="X351" s="64" t="s">
        <v>2239</v>
      </c>
      <c r="Y351" s="64">
        <v>10346</v>
      </c>
    </row>
    <row r="352" spans="7:25" ht="39" x14ac:dyDescent="0.35">
      <c r="G352" s="67">
        <v>350</v>
      </c>
      <c r="H352" s="63" t="s">
        <v>2685</v>
      </c>
      <c r="I352" s="64" t="s">
        <v>1656</v>
      </c>
      <c r="J352" s="64">
        <v>11662</v>
      </c>
      <c r="L352" s="40">
        <v>350</v>
      </c>
      <c r="M352" s="67" t="s">
        <v>2686</v>
      </c>
      <c r="N352" s="64" t="s">
        <v>2756</v>
      </c>
      <c r="O352" s="64">
        <v>11873</v>
      </c>
      <c r="Q352" s="40">
        <v>350</v>
      </c>
      <c r="R352" s="63" t="s">
        <v>56</v>
      </c>
      <c r="S352" s="64" t="s">
        <v>1054</v>
      </c>
      <c r="T352" s="64">
        <v>2571</v>
      </c>
      <c r="V352" s="67">
        <v>350</v>
      </c>
      <c r="W352" s="63" t="s">
        <v>56</v>
      </c>
      <c r="X352" s="64" t="s">
        <v>2240</v>
      </c>
      <c r="Y352" s="64">
        <v>10347</v>
      </c>
    </row>
    <row r="353" spans="7:25" ht="39" x14ac:dyDescent="0.35">
      <c r="G353" s="67">
        <v>351</v>
      </c>
      <c r="H353" s="63" t="s">
        <v>2685</v>
      </c>
      <c r="I353" s="64" t="s">
        <v>1657</v>
      </c>
      <c r="J353" s="64">
        <v>11663</v>
      </c>
      <c r="L353" s="40">
        <v>351</v>
      </c>
      <c r="M353" s="67" t="s">
        <v>2686</v>
      </c>
      <c r="N353" s="64" t="s">
        <v>1544</v>
      </c>
      <c r="O353" s="64">
        <v>11584</v>
      </c>
      <c r="Q353" s="40">
        <v>351</v>
      </c>
      <c r="R353" s="63" t="s">
        <v>56</v>
      </c>
      <c r="S353" s="64" t="s">
        <v>1056</v>
      </c>
      <c r="T353" s="64">
        <v>3107</v>
      </c>
      <c r="V353" s="67">
        <v>351</v>
      </c>
      <c r="W353" s="63" t="s">
        <v>56</v>
      </c>
      <c r="X353" s="64" t="s">
        <v>2012</v>
      </c>
      <c r="Y353" s="64">
        <v>10129</v>
      </c>
    </row>
    <row r="354" spans="7:25" ht="39" x14ac:dyDescent="0.35">
      <c r="G354" s="67">
        <v>352</v>
      </c>
      <c r="H354" s="63" t="s">
        <v>2685</v>
      </c>
      <c r="I354" s="64" t="s">
        <v>1658</v>
      </c>
      <c r="J354" s="64">
        <v>11664</v>
      </c>
      <c r="L354" s="40">
        <v>352</v>
      </c>
      <c r="M354" s="67" t="s">
        <v>2686</v>
      </c>
      <c r="N354" s="64" t="s">
        <v>1545</v>
      </c>
      <c r="O354" s="64">
        <v>11585</v>
      </c>
      <c r="Q354" s="40">
        <v>352</v>
      </c>
      <c r="R354" s="63" t="s">
        <v>56</v>
      </c>
      <c r="S354" s="64" t="s">
        <v>1059</v>
      </c>
      <c r="T354" s="64">
        <v>3550</v>
      </c>
      <c r="V354" s="67">
        <v>352</v>
      </c>
      <c r="W354" s="63" t="s">
        <v>56</v>
      </c>
      <c r="X354" s="64" t="s">
        <v>2241</v>
      </c>
      <c r="Y354" s="64">
        <v>8283</v>
      </c>
    </row>
    <row r="355" spans="7:25" ht="39" x14ac:dyDescent="0.35">
      <c r="G355" s="67">
        <v>353</v>
      </c>
      <c r="H355" s="63" t="s">
        <v>2685</v>
      </c>
      <c r="I355" s="64" t="s">
        <v>735</v>
      </c>
      <c r="J355" s="64">
        <v>10871</v>
      </c>
      <c r="L355" s="40">
        <v>353</v>
      </c>
      <c r="M355" s="67" t="s">
        <v>2686</v>
      </c>
      <c r="N355" s="64" t="s">
        <v>1546</v>
      </c>
      <c r="O355" s="64">
        <v>11586</v>
      </c>
      <c r="Q355" s="40">
        <v>353</v>
      </c>
      <c r="R355" s="63" t="s">
        <v>56</v>
      </c>
      <c r="S355" s="64" t="s">
        <v>1061</v>
      </c>
      <c r="T355" s="64">
        <v>8111</v>
      </c>
      <c r="V355" s="67">
        <v>353</v>
      </c>
      <c r="W355" s="63" t="s">
        <v>56</v>
      </c>
      <c r="X355" s="64" t="s">
        <v>2243</v>
      </c>
      <c r="Y355" s="64">
        <v>2822</v>
      </c>
    </row>
    <row r="356" spans="7:25" ht="39" x14ac:dyDescent="0.35">
      <c r="G356" s="67">
        <v>354</v>
      </c>
      <c r="H356" s="63" t="s">
        <v>2685</v>
      </c>
      <c r="I356" s="64" t="s">
        <v>737</v>
      </c>
      <c r="J356" s="64">
        <v>10872</v>
      </c>
      <c r="L356" s="40">
        <v>354</v>
      </c>
      <c r="M356" s="67" t="s">
        <v>2686</v>
      </c>
      <c r="N356" s="64" t="s">
        <v>1678</v>
      </c>
      <c r="O356" s="64">
        <v>11684</v>
      </c>
      <c r="Q356" s="40">
        <v>354</v>
      </c>
      <c r="R356" s="63" t="s">
        <v>56</v>
      </c>
      <c r="S356" s="64" t="s">
        <v>1063</v>
      </c>
      <c r="T356" s="64">
        <v>8030</v>
      </c>
      <c r="V356" s="67">
        <v>354</v>
      </c>
      <c r="W356" s="63" t="s">
        <v>56</v>
      </c>
      <c r="X356" s="64" t="s">
        <v>2244</v>
      </c>
      <c r="Y356" s="64">
        <v>10278</v>
      </c>
    </row>
    <row r="357" spans="7:25" ht="39" x14ac:dyDescent="0.35">
      <c r="G357" s="67">
        <v>355</v>
      </c>
      <c r="H357" s="63" t="s">
        <v>2685</v>
      </c>
      <c r="I357" s="64" t="s">
        <v>631</v>
      </c>
      <c r="J357" s="64">
        <v>11520</v>
      </c>
      <c r="L357" s="40">
        <v>355</v>
      </c>
      <c r="M357" s="67" t="s">
        <v>2686</v>
      </c>
      <c r="N357" s="64" t="s">
        <v>1547</v>
      </c>
      <c r="O357" s="64">
        <v>11587</v>
      </c>
      <c r="Q357" s="40">
        <v>355</v>
      </c>
      <c r="R357" s="63" t="s">
        <v>56</v>
      </c>
      <c r="S357" s="64" t="s">
        <v>1065</v>
      </c>
      <c r="T357" s="64">
        <v>2624</v>
      </c>
      <c r="V357" s="67">
        <v>355</v>
      </c>
      <c r="W357" s="63" t="s">
        <v>56</v>
      </c>
      <c r="X357" s="64" t="s">
        <v>2245</v>
      </c>
      <c r="Y357" s="64">
        <v>3355</v>
      </c>
    </row>
    <row r="358" spans="7:25" ht="39" x14ac:dyDescent="0.35">
      <c r="G358" s="67">
        <v>356</v>
      </c>
      <c r="H358" s="63" t="s">
        <v>2685</v>
      </c>
      <c r="I358" s="64" t="s">
        <v>2553</v>
      </c>
      <c r="J358" s="64">
        <v>11756</v>
      </c>
      <c r="L358" s="40">
        <v>356</v>
      </c>
      <c r="M358" s="67" t="s">
        <v>2686</v>
      </c>
      <c r="N358" s="64" t="s">
        <v>1548</v>
      </c>
      <c r="O358" s="64">
        <v>11588</v>
      </c>
      <c r="Q358" s="40">
        <v>356</v>
      </c>
      <c r="R358" s="63" t="s">
        <v>56</v>
      </c>
      <c r="S358" s="64" t="s">
        <v>1069</v>
      </c>
      <c r="T358" s="64">
        <v>8019</v>
      </c>
      <c r="V358" s="67">
        <v>356</v>
      </c>
      <c r="W358" s="63" t="s">
        <v>56</v>
      </c>
      <c r="X358" s="64" t="s">
        <v>2420</v>
      </c>
      <c r="Y358" s="64">
        <v>3415</v>
      </c>
    </row>
    <row r="359" spans="7:25" ht="39" x14ac:dyDescent="0.35">
      <c r="G359" s="67">
        <v>357</v>
      </c>
      <c r="H359" s="63" t="s">
        <v>2685</v>
      </c>
      <c r="I359" s="64" t="s">
        <v>2751</v>
      </c>
      <c r="J359" s="64">
        <v>11866</v>
      </c>
      <c r="L359" s="40">
        <v>357</v>
      </c>
      <c r="M359" s="63" t="s">
        <v>2686</v>
      </c>
      <c r="N359" s="64" t="s">
        <v>1408</v>
      </c>
      <c r="O359" s="64">
        <v>11506</v>
      </c>
      <c r="Q359" s="40">
        <v>357</v>
      </c>
      <c r="R359" s="63" t="s">
        <v>56</v>
      </c>
      <c r="S359" s="64" t="s">
        <v>1071</v>
      </c>
      <c r="T359" s="64">
        <v>8074</v>
      </c>
      <c r="V359" s="67">
        <v>357</v>
      </c>
      <c r="W359" s="63" t="s">
        <v>56</v>
      </c>
      <c r="X359" s="64" t="s">
        <v>2030</v>
      </c>
      <c r="Y359" s="64">
        <v>3095</v>
      </c>
    </row>
    <row r="360" spans="7:25" ht="39" x14ac:dyDescent="0.35">
      <c r="G360" s="67">
        <v>358</v>
      </c>
      <c r="H360" s="63" t="s">
        <v>2685</v>
      </c>
      <c r="I360" s="64" t="s">
        <v>2748</v>
      </c>
      <c r="J360" s="64">
        <v>11500</v>
      </c>
      <c r="L360" s="40">
        <v>358</v>
      </c>
      <c r="M360" s="63" t="s">
        <v>2686</v>
      </c>
      <c r="N360" s="64" t="s">
        <v>1407</v>
      </c>
      <c r="O360" s="64">
        <v>11505</v>
      </c>
      <c r="Q360" s="40">
        <v>358</v>
      </c>
      <c r="R360" s="63" t="s">
        <v>56</v>
      </c>
      <c r="S360" s="64" t="s">
        <v>1073</v>
      </c>
      <c r="T360" s="64">
        <v>2625</v>
      </c>
      <c r="V360" s="67">
        <v>358</v>
      </c>
      <c r="W360" s="63" t="s">
        <v>56</v>
      </c>
      <c r="X360" s="64" t="s">
        <v>2246</v>
      </c>
      <c r="Y360" s="64">
        <v>3356</v>
      </c>
    </row>
    <row r="361" spans="7:25" ht="26" x14ac:dyDescent="0.35">
      <c r="G361" s="67">
        <v>359</v>
      </c>
      <c r="H361" s="63" t="s">
        <v>2685</v>
      </c>
      <c r="I361" s="64" t="s">
        <v>1413</v>
      </c>
      <c r="J361" s="64">
        <v>11501</v>
      </c>
      <c r="L361" s="40">
        <v>359</v>
      </c>
      <c r="M361" s="63" t="s">
        <v>2688</v>
      </c>
      <c r="N361" s="64" t="s">
        <v>1018</v>
      </c>
      <c r="O361" s="64">
        <v>10715</v>
      </c>
      <c r="Q361" s="40">
        <v>359</v>
      </c>
      <c r="R361" s="63" t="s">
        <v>56</v>
      </c>
      <c r="S361" s="64" t="s">
        <v>1075</v>
      </c>
      <c r="T361" s="64">
        <v>10114</v>
      </c>
      <c r="V361" s="67">
        <v>359</v>
      </c>
      <c r="W361" s="63" t="s">
        <v>56</v>
      </c>
      <c r="X361" s="64" t="s">
        <v>2248</v>
      </c>
      <c r="Y361" s="64">
        <v>10279</v>
      </c>
    </row>
    <row r="362" spans="7:25" ht="26" x14ac:dyDescent="0.35">
      <c r="G362" s="67">
        <v>360</v>
      </c>
      <c r="H362" s="63" t="s">
        <v>2685</v>
      </c>
      <c r="I362" s="64" t="s">
        <v>2749</v>
      </c>
      <c r="J362" s="64">
        <v>11502</v>
      </c>
      <c r="L362" s="40">
        <v>360</v>
      </c>
      <c r="M362" s="63" t="s">
        <v>2688</v>
      </c>
      <c r="N362" s="64" t="s">
        <v>272</v>
      </c>
      <c r="O362" s="64">
        <v>11431</v>
      </c>
      <c r="Q362" s="40">
        <v>360</v>
      </c>
      <c r="R362" s="63" t="s">
        <v>56</v>
      </c>
      <c r="S362" s="64" t="s">
        <v>1077</v>
      </c>
      <c r="T362" s="64">
        <v>8094</v>
      </c>
      <c r="V362" s="67">
        <v>360</v>
      </c>
      <c r="W362" s="63" t="s">
        <v>56</v>
      </c>
      <c r="X362" s="64" t="s">
        <v>2249</v>
      </c>
      <c r="Y362" s="64">
        <v>10280</v>
      </c>
    </row>
    <row r="363" spans="7:25" ht="26" x14ac:dyDescent="0.35">
      <c r="G363" s="67">
        <v>361</v>
      </c>
      <c r="H363" s="63" t="s">
        <v>2685</v>
      </c>
      <c r="I363" s="64" t="s">
        <v>2750</v>
      </c>
      <c r="J363" s="64">
        <v>11865</v>
      </c>
      <c r="L363" s="40">
        <v>361</v>
      </c>
      <c r="M363" s="63" t="s">
        <v>2688</v>
      </c>
      <c r="N363" s="64" t="s">
        <v>1587</v>
      </c>
      <c r="O363" s="64">
        <v>11699</v>
      </c>
      <c r="Q363" s="40">
        <v>361</v>
      </c>
      <c r="R363" s="63" t="s">
        <v>56</v>
      </c>
      <c r="S363" s="64" t="s">
        <v>1079</v>
      </c>
      <c r="T363" s="64">
        <v>2628</v>
      </c>
      <c r="V363" s="67">
        <v>361</v>
      </c>
      <c r="W363" s="63" t="s">
        <v>56</v>
      </c>
      <c r="X363" s="64" t="s">
        <v>2250</v>
      </c>
      <c r="Y363" s="64">
        <v>10281</v>
      </c>
    </row>
    <row r="364" spans="7:25" ht="26" x14ac:dyDescent="0.35">
      <c r="G364" s="67">
        <v>362</v>
      </c>
      <c r="H364" s="63" t="s">
        <v>2685</v>
      </c>
      <c r="I364" s="64" t="s">
        <v>2752</v>
      </c>
      <c r="J364" s="64">
        <v>11867</v>
      </c>
      <c r="L364" s="40">
        <v>362</v>
      </c>
      <c r="M364" s="63" t="s">
        <v>2688</v>
      </c>
      <c r="N364" s="64" t="s">
        <v>1588</v>
      </c>
      <c r="O364" s="64">
        <v>11700</v>
      </c>
      <c r="Q364" s="40">
        <v>362</v>
      </c>
      <c r="R364" s="63" t="s">
        <v>56</v>
      </c>
      <c r="S364" s="64" t="s">
        <v>1081</v>
      </c>
      <c r="T364" s="64">
        <v>2629</v>
      </c>
      <c r="V364" s="67">
        <v>362</v>
      </c>
      <c r="W364" s="63" t="s">
        <v>56</v>
      </c>
      <c r="X364" s="64" t="s">
        <v>2251</v>
      </c>
      <c r="Y364" s="64">
        <v>3360</v>
      </c>
    </row>
    <row r="365" spans="7:25" ht="26" x14ac:dyDescent="0.35">
      <c r="G365" s="67">
        <v>363</v>
      </c>
      <c r="H365" s="63" t="s">
        <v>2685</v>
      </c>
      <c r="I365" s="64" t="s">
        <v>748</v>
      </c>
      <c r="J365" s="64">
        <v>11359</v>
      </c>
      <c r="L365" s="40">
        <v>363</v>
      </c>
      <c r="M365" s="63" t="s">
        <v>2688</v>
      </c>
      <c r="N365" s="64" t="s">
        <v>1027</v>
      </c>
      <c r="O365" s="64">
        <v>11297</v>
      </c>
      <c r="Q365" s="40">
        <v>363</v>
      </c>
      <c r="R365" s="63" t="s">
        <v>56</v>
      </c>
      <c r="S365" s="64" t="s">
        <v>1083</v>
      </c>
      <c r="T365" s="64">
        <v>10576</v>
      </c>
      <c r="V365" s="67">
        <v>363</v>
      </c>
      <c r="W365" s="63" t="s">
        <v>56</v>
      </c>
      <c r="X365" s="64" t="s">
        <v>2252</v>
      </c>
      <c r="Y365" s="64">
        <v>3361</v>
      </c>
    </row>
    <row r="366" spans="7:25" ht="26" x14ac:dyDescent="0.35">
      <c r="G366" s="67">
        <v>364</v>
      </c>
      <c r="H366" s="63" t="s">
        <v>2685</v>
      </c>
      <c r="I366" s="64" t="s">
        <v>750</v>
      </c>
      <c r="J366" s="64">
        <v>11325</v>
      </c>
      <c r="L366" s="40">
        <v>364</v>
      </c>
      <c r="M366" s="63" t="s">
        <v>2688</v>
      </c>
      <c r="N366" s="64" t="s">
        <v>1029</v>
      </c>
      <c r="O366" s="64">
        <v>10716</v>
      </c>
      <c r="Q366" s="40">
        <v>364</v>
      </c>
      <c r="R366" s="63" t="s">
        <v>56</v>
      </c>
      <c r="S366" s="64" t="s">
        <v>1085</v>
      </c>
      <c r="T366" s="64">
        <v>10438</v>
      </c>
      <c r="V366" s="67">
        <v>364</v>
      </c>
      <c r="W366" s="63" t="s">
        <v>56</v>
      </c>
      <c r="X366" s="64" t="s">
        <v>2253</v>
      </c>
      <c r="Y366" s="64">
        <v>3362</v>
      </c>
    </row>
    <row r="367" spans="7:25" ht="26" x14ac:dyDescent="0.35">
      <c r="G367" s="67">
        <v>365</v>
      </c>
      <c r="H367" s="63" t="s">
        <v>2685</v>
      </c>
      <c r="I367" s="64" t="s">
        <v>1414</v>
      </c>
      <c r="J367" s="64">
        <v>11503</v>
      </c>
      <c r="L367" s="40">
        <v>365</v>
      </c>
      <c r="M367" s="63" t="s">
        <v>2688</v>
      </c>
      <c r="N367" s="64" t="s">
        <v>479</v>
      </c>
      <c r="O367" s="64">
        <v>11432</v>
      </c>
      <c r="Q367" s="40">
        <v>365</v>
      </c>
      <c r="R367" s="63" t="s">
        <v>56</v>
      </c>
      <c r="S367" s="64" t="s">
        <v>1087</v>
      </c>
      <c r="T367" s="64">
        <v>2632</v>
      </c>
      <c r="V367" s="67">
        <v>365</v>
      </c>
      <c r="W367" s="63" t="s">
        <v>56</v>
      </c>
      <c r="X367" s="64" t="s">
        <v>2254</v>
      </c>
      <c r="Y367" s="64">
        <v>2827</v>
      </c>
    </row>
    <row r="368" spans="7:25" ht="26" x14ac:dyDescent="0.35">
      <c r="G368" s="67">
        <v>366</v>
      </c>
      <c r="H368" s="63" t="s">
        <v>2685</v>
      </c>
      <c r="I368" s="64" t="s">
        <v>2554</v>
      </c>
      <c r="J368" s="64">
        <v>11757</v>
      </c>
      <c r="L368" s="40">
        <v>366</v>
      </c>
      <c r="M368" s="63" t="s">
        <v>2688</v>
      </c>
      <c r="N368" s="64" t="s">
        <v>1349</v>
      </c>
      <c r="O368" s="64">
        <v>11433</v>
      </c>
      <c r="Q368" s="40">
        <v>366</v>
      </c>
      <c r="R368" s="63" t="s">
        <v>56</v>
      </c>
      <c r="S368" s="64" t="s">
        <v>1089</v>
      </c>
      <c r="T368" s="64">
        <v>3571</v>
      </c>
      <c r="V368" s="67">
        <v>366</v>
      </c>
      <c r="W368" s="63" t="s">
        <v>56</v>
      </c>
      <c r="X368" s="64" t="s">
        <v>2255</v>
      </c>
      <c r="Y368" s="64">
        <v>3363</v>
      </c>
    </row>
    <row r="369" spans="7:25" ht="26" x14ac:dyDescent="0.35">
      <c r="G369" s="67">
        <v>367</v>
      </c>
      <c r="H369" s="63" t="s">
        <v>2685</v>
      </c>
      <c r="I369" s="64" t="s">
        <v>756</v>
      </c>
      <c r="J369" s="64">
        <v>10879</v>
      </c>
      <c r="L369" s="40">
        <v>367</v>
      </c>
      <c r="M369" s="63" t="s">
        <v>2688</v>
      </c>
      <c r="N369" s="64" t="s">
        <v>1031</v>
      </c>
      <c r="O369" s="64">
        <v>10717</v>
      </c>
      <c r="Q369" s="40">
        <v>367</v>
      </c>
      <c r="R369" s="63" t="s">
        <v>56</v>
      </c>
      <c r="S369" s="64" t="s">
        <v>1091</v>
      </c>
      <c r="T369" s="64">
        <v>2636</v>
      </c>
      <c r="V369" s="67">
        <v>367</v>
      </c>
      <c r="W369" s="63" t="s">
        <v>56</v>
      </c>
      <c r="X369" s="64" t="s">
        <v>2256</v>
      </c>
      <c r="Y369" s="64">
        <v>3364</v>
      </c>
    </row>
    <row r="370" spans="7:25" ht="26" x14ac:dyDescent="0.35">
      <c r="G370" s="67">
        <v>368</v>
      </c>
      <c r="H370" s="63" t="s">
        <v>2685</v>
      </c>
      <c r="I370" s="64" t="s">
        <v>2555</v>
      </c>
      <c r="J370" s="64">
        <v>11758</v>
      </c>
      <c r="L370" s="40">
        <v>368</v>
      </c>
      <c r="M370" s="63" t="s">
        <v>2688</v>
      </c>
      <c r="N370" s="64" t="s">
        <v>101</v>
      </c>
      <c r="O370" s="64">
        <v>11113</v>
      </c>
      <c r="Q370" s="40">
        <v>368</v>
      </c>
      <c r="R370" s="63" t="s">
        <v>56</v>
      </c>
      <c r="S370" s="64" t="s">
        <v>1093</v>
      </c>
      <c r="T370" s="64">
        <v>2637</v>
      </c>
      <c r="V370" s="67">
        <v>368</v>
      </c>
      <c r="W370" s="63" t="s">
        <v>56</v>
      </c>
      <c r="X370" s="64" t="s">
        <v>2257</v>
      </c>
      <c r="Y370" s="64">
        <v>3366</v>
      </c>
    </row>
    <row r="371" spans="7:25" ht="26" x14ac:dyDescent="0.35">
      <c r="G371" s="67">
        <v>369</v>
      </c>
      <c r="H371" s="63" t="s">
        <v>2685</v>
      </c>
      <c r="I371" s="64" t="s">
        <v>758</v>
      </c>
      <c r="J371" s="64">
        <v>10880</v>
      </c>
      <c r="L371" s="40">
        <v>369</v>
      </c>
      <c r="M371" s="63" t="s">
        <v>2688</v>
      </c>
      <c r="N371" s="64" t="s">
        <v>1542</v>
      </c>
      <c r="O371" s="64">
        <v>11582</v>
      </c>
      <c r="Q371" s="40">
        <v>369</v>
      </c>
      <c r="R371" s="63" t="s">
        <v>56</v>
      </c>
      <c r="S371" s="64" t="s">
        <v>1095</v>
      </c>
      <c r="T371" s="64">
        <v>10126</v>
      </c>
      <c r="V371" s="67">
        <v>369</v>
      </c>
      <c r="W371" s="63" t="s">
        <v>56</v>
      </c>
      <c r="X371" s="64" t="s">
        <v>2258</v>
      </c>
      <c r="Y371" s="64">
        <v>3368</v>
      </c>
    </row>
    <row r="372" spans="7:25" ht="26" x14ac:dyDescent="0.35">
      <c r="G372" s="67">
        <v>370</v>
      </c>
      <c r="H372" s="63" t="s">
        <v>2685</v>
      </c>
      <c r="I372" s="64" t="s">
        <v>761</v>
      </c>
      <c r="J372" s="64">
        <v>10881</v>
      </c>
      <c r="L372" s="40">
        <v>370</v>
      </c>
      <c r="M372" s="63" t="s">
        <v>2688</v>
      </c>
      <c r="N372" s="64" t="s">
        <v>105</v>
      </c>
      <c r="O372" s="64">
        <v>11114</v>
      </c>
      <c r="Q372" s="40">
        <v>370</v>
      </c>
      <c r="R372" s="63" t="s">
        <v>56</v>
      </c>
      <c r="S372" s="64" t="s">
        <v>1097</v>
      </c>
      <c r="T372" s="64">
        <v>10142</v>
      </c>
      <c r="V372" s="67">
        <v>370</v>
      </c>
      <c r="W372" s="63" t="s">
        <v>56</v>
      </c>
      <c r="X372" s="64" t="s">
        <v>2259</v>
      </c>
      <c r="Y372" s="64">
        <v>2831</v>
      </c>
    </row>
    <row r="373" spans="7:25" ht="26" x14ac:dyDescent="0.35">
      <c r="G373" s="67">
        <v>371</v>
      </c>
      <c r="H373" s="63" t="s">
        <v>2685</v>
      </c>
      <c r="I373" s="64" t="s">
        <v>763</v>
      </c>
      <c r="J373" s="64">
        <v>10882</v>
      </c>
      <c r="L373" s="40">
        <v>371</v>
      </c>
      <c r="M373" s="63" t="s">
        <v>2688</v>
      </c>
      <c r="N373" s="64" t="s">
        <v>1589</v>
      </c>
      <c r="O373" s="64">
        <v>11701</v>
      </c>
      <c r="Q373" s="40">
        <v>371</v>
      </c>
      <c r="R373" s="63" t="s">
        <v>56</v>
      </c>
      <c r="S373" s="64" t="s">
        <v>1100</v>
      </c>
      <c r="T373" s="64">
        <v>10139</v>
      </c>
      <c r="V373" s="67">
        <v>371</v>
      </c>
      <c r="W373" s="63" t="s">
        <v>56</v>
      </c>
      <c r="X373" s="64" t="s">
        <v>2260</v>
      </c>
      <c r="Y373" s="64">
        <v>3371</v>
      </c>
    </row>
    <row r="374" spans="7:25" ht="26" x14ac:dyDescent="0.35">
      <c r="G374" s="67">
        <v>372</v>
      </c>
      <c r="H374" s="63" t="s">
        <v>2685</v>
      </c>
      <c r="I374" s="64" t="s">
        <v>765</v>
      </c>
      <c r="J374" s="64">
        <v>10883</v>
      </c>
      <c r="L374" s="40">
        <v>372</v>
      </c>
      <c r="M374" s="63" t="s">
        <v>2688</v>
      </c>
      <c r="N374" s="64" t="s">
        <v>1467</v>
      </c>
      <c r="O374" s="64">
        <v>11487</v>
      </c>
      <c r="Q374" s="40">
        <v>372</v>
      </c>
      <c r="R374" s="63" t="s">
        <v>56</v>
      </c>
      <c r="S374" s="64" t="s">
        <v>1103</v>
      </c>
      <c r="T374" s="64">
        <v>3578</v>
      </c>
      <c r="V374" s="67">
        <v>372</v>
      </c>
      <c r="W374" s="63" t="s">
        <v>56</v>
      </c>
      <c r="X374" s="64" t="s">
        <v>2154</v>
      </c>
      <c r="Y374" s="64">
        <v>2832</v>
      </c>
    </row>
    <row r="375" spans="7:25" ht="26" x14ac:dyDescent="0.35">
      <c r="G375" s="67">
        <v>373</v>
      </c>
      <c r="H375" s="63" t="s">
        <v>2685</v>
      </c>
      <c r="I375" s="64" t="s">
        <v>767</v>
      </c>
      <c r="J375" s="64">
        <v>10884</v>
      </c>
      <c r="L375" s="40">
        <v>373</v>
      </c>
      <c r="M375" s="63" t="s">
        <v>2688</v>
      </c>
      <c r="N375" s="64" t="s">
        <v>1470</v>
      </c>
      <c r="O375" s="64">
        <v>11490</v>
      </c>
      <c r="Q375" s="40">
        <v>373</v>
      </c>
      <c r="R375" s="63" t="s">
        <v>56</v>
      </c>
      <c r="S375" s="64" t="s">
        <v>1107</v>
      </c>
      <c r="T375" s="64">
        <v>8150</v>
      </c>
      <c r="V375" s="67">
        <v>373</v>
      </c>
      <c r="W375" s="63" t="s">
        <v>56</v>
      </c>
      <c r="X375" s="64" t="s">
        <v>1130</v>
      </c>
      <c r="Y375" s="64">
        <v>3134</v>
      </c>
    </row>
    <row r="376" spans="7:25" ht="26" x14ac:dyDescent="0.35">
      <c r="G376" s="67">
        <v>374</v>
      </c>
      <c r="H376" s="63" t="s">
        <v>2685</v>
      </c>
      <c r="I376" s="64" t="s">
        <v>1360</v>
      </c>
      <c r="J376" s="64">
        <v>11357</v>
      </c>
      <c r="L376" s="40">
        <v>374</v>
      </c>
      <c r="M376" s="63" t="s">
        <v>2688</v>
      </c>
      <c r="N376" s="64" t="s">
        <v>1035</v>
      </c>
      <c r="O376" s="64">
        <v>11222</v>
      </c>
      <c r="Q376" s="40">
        <v>374</v>
      </c>
      <c r="R376" s="63" t="s">
        <v>56</v>
      </c>
      <c r="S376" s="64" t="s">
        <v>1109</v>
      </c>
      <c r="T376" s="64">
        <v>3580</v>
      </c>
      <c r="V376" s="67">
        <v>374</v>
      </c>
      <c r="W376" s="63" t="s">
        <v>56</v>
      </c>
      <c r="X376" s="64" t="s">
        <v>2155</v>
      </c>
      <c r="Y376" s="64">
        <v>2834</v>
      </c>
    </row>
    <row r="377" spans="7:25" ht="26" x14ac:dyDescent="0.35">
      <c r="G377" s="67">
        <v>375</v>
      </c>
      <c r="H377" s="63" t="s">
        <v>2685</v>
      </c>
      <c r="I377" s="64" t="s">
        <v>769</v>
      </c>
      <c r="J377" s="64">
        <v>11172</v>
      </c>
      <c r="L377" s="40">
        <v>375</v>
      </c>
      <c r="M377" s="63" t="s">
        <v>2688</v>
      </c>
      <c r="N377" s="64" t="s">
        <v>620</v>
      </c>
      <c r="O377" s="64">
        <v>11702</v>
      </c>
      <c r="Q377" s="40">
        <v>375</v>
      </c>
      <c r="R377" s="63" t="s">
        <v>56</v>
      </c>
      <c r="S377" s="64" t="s">
        <v>1111</v>
      </c>
      <c r="T377" s="64">
        <v>2647</v>
      </c>
      <c r="V377" s="67">
        <v>375</v>
      </c>
      <c r="W377" s="63" t="s">
        <v>56</v>
      </c>
      <c r="X377" s="64" t="s">
        <v>2262</v>
      </c>
      <c r="Y377" s="64">
        <v>10163</v>
      </c>
    </row>
    <row r="378" spans="7:25" ht="26" x14ac:dyDescent="0.35">
      <c r="G378" s="67">
        <v>376</v>
      </c>
      <c r="H378" s="63" t="s">
        <v>2685</v>
      </c>
      <c r="I378" s="64" t="s">
        <v>771</v>
      </c>
      <c r="J378" s="64">
        <v>11171</v>
      </c>
      <c r="L378" s="40">
        <v>376</v>
      </c>
      <c r="M378" s="63" t="s">
        <v>2688</v>
      </c>
      <c r="N378" s="64" t="s">
        <v>125</v>
      </c>
      <c r="O378" s="64">
        <v>11237</v>
      </c>
      <c r="Q378" s="40">
        <v>376</v>
      </c>
      <c r="R378" s="63" t="s">
        <v>56</v>
      </c>
      <c r="S378" s="64" t="s">
        <v>1113</v>
      </c>
      <c r="T378" s="64">
        <v>8060</v>
      </c>
      <c r="V378" s="67">
        <v>376</v>
      </c>
      <c r="W378" s="63" t="s">
        <v>56</v>
      </c>
      <c r="X378" s="64" t="s">
        <v>2276</v>
      </c>
      <c r="Y378" s="64">
        <v>3380</v>
      </c>
    </row>
    <row r="379" spans="7:25" ht="26" x14ac:dyDescent="0.35">
      <c r="G379" s="67">
        <v>377</v>
      </c>
      <c r="H379" s="63" t="s">
        <v>2685</v>
      </c>
      <c r="I379" s="64" t="s">
        <v>773</v>
      </c>
      <c r="J379" s="64">
        <v>11173</v>
      </c>
      <c r="L379" s="40">
        <v>377</v>
      </c>
      <c r="M379" s="63" t="s">
        <v>2688</v>
      </c>
      <c r="N379" s="64" t="s">
        <v>132</v>
      </c>
      <c r="O379" s="64">
        <v>11236</v>
      </c>
      <c r="Q379" s="40">
        <v>377</v>
      </c>
      <c r="R379" s="63" t="s">
        <v>56</v>
      </c>
      <c r="S379" s="64" t="s">
        <v>1115</v>
      </c>
      <c r="T379" s="64">
        <v>8138</v>
      </c>
      <c r="V379" s="67">
        <v>377</v>
      </c>
      <c r="W379" s="63" t="s">
        <v>56</v>
      </c>
      <c r="X379" s="64" t="s">
        <v>1201</v>
      </c>
      <c r="Y379" s="64">
        <v>11254</v>
      </c>
    </row>
    <row r="380" spans="7:25" ht="26" x14ac:dyDescent="0.35">
      <c r="G380" s="67">
        <v>378</v>
      </c>
      <c r="H380" s="63" t="s">
        <v>2685</v>
      </c>
      <c r="I380" s="64" t="s">
        <v>775</v>
      </c>
      <c r="J380" s="64">
        <v>11174</v>
      </c>
      <c r="L380" s="40">
        <v>378</v>
      </c>
      <c r="M380" s="63" t="s">
        <v>2688</v>
      </c>
      <c r="N380" s="64" t="s">
        <v>1471</v>
      </c>
      <c r="O380" s="64">
        <v>11491</v>
      </c>
      <c r="Q380" s="40">
        <v>378</v>
      </c>
      <c r="R380" s="63" t="s">
        <v>56</v>
      </c>
      <c r="S380" s="64" t="s">
        <v>1117</v>
      </c>
      <c r="T380" s="64">
        <v>2650</v>
      </c>
      <c r="V380" s="67">
        <v>378</v>
      </c>
      <c r="W380" s="63" t="s">
        <v>56</v>
      </c>
      <c r="X380" s="64" t="s">
        <v>2265</v>
      </c>
      <c r="Y380" s="64">
        <v>2836</v>
      </c>
    </row>
    <row r="381" spans="7:25" ht="26" x14ac:dyDescent="0.35">
      <c r="G381" s="67">
        <v>379</v>
      </c>
      <c r="H381" s="63" t="s">
        <v>2685</v>
      </c>
      <c r="I381" s="64" t="s">
        <v>777</v>
      </c>
      <c r="J381" s="64">
        <v>11175</v>
      </c>
      <c r="L381" s="40">
        <v>379</v>
      </c>
      <c r="M381" s="63" t="s">
        <v>2688</v>
      </c>
      <c r="N381" s="64" t="s">
        <v>162</v>
      </c>
      <c r="O381" s="64">
        <v>11120</v>
      </c>
      <c r="Q381" s="40">
        <v>379</v>
      </c>
      <c r="R381" s="63" t="s">
        <v>56</v>
      </c>
      <c r="S381" s="64" t="s">
        <v>1119</v>
      </c>
      <c r="T381" s="64">
        <v>8086</v>
      </c>
      <c r="V381" s="67">
        <v>379</v>
      </c>
      <c r="W381" s="63" t="s">
        <v>56</v>
      </c>
      <c r="X381" s="64" t="s">
        <v>1144</v>
      </c>
      <c r="Y381" s="64">
        <v>10284</v>
      </c>
    </row>
    <row r="382" spans="7:25" ht="39" x14ac:dyDescent="0.35">
      <c r="G382" s="67">
        <v>380</v>
      </c>
      <c r="H382" s="63" t="s">
        <v>2685</v>
      </c>
      <c r="I382" s="64" t="s">
        <v>1483</v>
      </c>
      <c r="J382" s="64">
        <v>11516</v>
      </c>
      <c r="L382" s="40">
        <v>380</v>
      </c>
      <c r="M382" s="63" t="s">
        <v>2688</v>
      </c>
      <c r="N382" s="64" t="s">
        <v>1348</v>
      </c>
      <c r="O382" s="64">
        <v>11434</v>
      </c>
      <c r="Q382" s="40">
        <v>380</v>
      </c>
      <c r="R382" s="63" t="s">
        <v>2691</v>
      </c>
      <c r="S382" s="64" t="s">
        <v>1123</v>
      </c>
      <c r="T382" s="64">
        <v>11264</v>
      </c>
      <c r="V382" s="67">
        <v>380</v>
      </c>
      <c r="W382" s="63" t="s">
        <v>56</v>
      </c>
      <c r="X382" s="64" t="s">
        <v>2264</v>
      </c>
      <c r="Y382" s="64">
        <v>10283</v>
      </c>
    </row>
    <row r="383" spans="7:25" ht="39" x14ac:dyDescent="0.35">
      <c r="G383" s="67">
        <v>381</v>
      </c>
      <c r="H383" s="63" t="s">
        <v>2685</v>
      </c>
      <c r="I383" s="64" t="s">
        <v>173</v>
      </c>
      <c r="J383" s="64">
        <v>11199</v>
      </c>
      <c r="L383" s="40">
        <v>381</v>
      </c>
      <c r="M383" s="63" t="s">
        <v>2688</v>
      </c>
      <c r="N383" s="64" t="s">
        <v>1543</v>
      </c>
      <c r="O383" s="64">
        <v>11583</v>
      </c>
      <c r="Q383" s="40">
        <v>381</v>
      </c>
      <c r="R383" s="63" t="s">
        <v>2691</v>
      </c>
      <c r="S383" s="64" t="s">
        <v>1125</v>
      </c>
      <c r="T383" s="64">
        <v>11265</v>
      </c>
      <c r="V383" s="67">
        <v>381</v>
      </c>
      <c r="W383" s="63" t="s">
        <v>56</v>
      </c>
      <c r="X383" s="64" t="s">
        <v>2156</v>
      </c>
      <c r="Y383" s="64">
        <v>2838</v>
      </c>
    </row>
    <row r="384" spans="7:25" ht="39" x14ac:dyDescent="0.35">
      <c r="G384" s="67">
        <v>382</v>
      </c>
      <c r="H384" s="63" t="s">
        <v>2685</v>
      </c>
      <c r="I384" s="64" t="s">
        <v>176</v>
      </c>
      <c r="J384" s="64">
        <v>11198</v>
      </c>
      <c r="L384" s="40">
        <v>382</v>
      </c>
      <c r="M384" s="63" t="s">
        <v>2688</v>
      </c>
      <c r="N384" s="64" t="s">
        <v>1468</v>
      </c>
      <c r="O384" s="64">
        <v>11488</v>
      </c>
      <c r="Q384" s="40">
        <v>382</v>
      </c>
      <c r="R384" s="63" t="s">
        <v>2691</v>
      </c>
      <c r="S384" s="64" t="s">
        <v>1127</v>
      </c>
      <c r="T384" s="64">
        <v>11266</v>
      </c>
      <c r="V384" s="67">
        <v>382</v>
      </c>
      <c r="W384" s="63" t="s">
        <v>56</v>
      </c>
      <c r="X384" s="64" t="s">
        <v>2157</v>
      </c>
      <c r="Y384" s="64">
        <v>2839</v>
      </c>
    </row>
    <row r="385" spans="7:25" ht="39" x14ac:dyDescent="0.35">
      <c r="G385" s="67">
        <v>383</v>
      </c>
      <c r="H385" s="63" t="s">
        <v>2685</v>
      </c>
      <c r="I385" s="64" t="s">
        <v>1417</v>
      </c>
      <c r="J385" s="64">
        <v>11478</v>
      </c>
      <c r="L385" s="40">
        <v>383</v>
      </c>
      <c r="M385" s="63" t="s">
        <v>2688</v>
      </c>
      <c r="N385" s="64" t="s">
        <v>1045</v>
      </c>
      <c r="O385" s="64">
        <v>10720</v>
      </c>
      <c r="Q385" s="40">
        <v>383</v>
      </c>
      <c r="R385" s="63" t="s">
        <v>2691</v>
      </c>
      <c r="S385" s="64" t="s">
        <v>1129</v>
      </c>
      <c r="T385" s="64">
        <v>11267</v>
      </c>
      <c r="V385" s="67">
        <v>383</v>
      </c>
      <c r="W385" s="63" t="s">
        <v>56</v>
      </c>
      <c r="X385" s="64" t="s">
        <v>2266</v>
      </c>
      <c r="Y385" s="64">
        <v>3373</v>
      </c>
    </row>
    <row r="386" spans="7:25" ht="39" x14ac:dyDescent="0.35">
      <c r="G386" s="67">
        <v>384</v>
      </c>
      <c r="H386" s="63" t="s">
        <v>2685</v>
      </c>
      <c r="I386" s="64" t="s">
        <v>751</v>
      </c>
      <c r="J386" s="64">
        <v>11828</v>
      </c>
      <c r="L386" s="40">
        <v>384</v>
      </c>
      <c r="M386" s="63" t="s">
        <v>2688</v>
      </c>
      <c r="N386" s="64" t="s">
        <v>1047</v>
      </c>
      <c r="O386" s="64">
        <v>10721</v>
      </c>
      <c r="Q386" s="40">
        <v>384</v>
      </c>
      <c r="R386" s="63" t="s">
        <v>2691</v>
      </c>
      <c r="S386" s="64" t="s">
        <v>1132</v>
      </c>
      <c r="T386" s="64">
        <v>11268</v>
      </c>
      <c r="V386" s="67">
        <v>384</v>
      </c>
      <c r="W386" s="63" t="s">
        <v>56</v>
      </c>
      <c r="X386" s="64" t="s">
        <v>2267</v>
      </c>
      <c r="Y386" s="64">
        <v>3374</v>
      </c>
    </row>
    <row r="387" spans="7:25" ht="39" x14ac:dyDescent="0.35">
      <c r="G387" s="67">
        <v>385</v>
      </c>
      <c r="H387" s="63" t="s">
        <v>2685</v>
      </c>
      <c r="I387" s="64" t="s">
        <v>779</v>
      </c>
      <c r="J387" s="64">
        <v>10885</v>
      </c>
      <c r="L387" s="40">
        <v>385</v>
      </c>
      <c r="M387" s="63" t="s">
        <v>2688</v>
      </c>
      <c r="N387" s="64" t="s">
        <v>1049</v>
      </c>
      <c r="O387" s="64">
        <v>10722</v>
      </c>
      <c r="Q387" s="40">
        <v>385</v>
      </c>
      <c r="R387" s="63" t="s">
        <v>2691</v>
      </c>
      <c r="S387" s="64" t="s">
        <v>2784</v>
      </c>
      <c r="T387" s="64">
        <v>9989</v>
      </c>
      <c r="V387" s="67">
        <v>385</v>
      </c>
      <c r="W387" s="63" t="s">
        <v>56</v>
      </c>
      <c r="X387" s="64" t="s">
        <v>2268</v>
      </c>
      <c r="Y387" s="64">
        <v>3375</v>
      </c>
    </row>
    <row r="388" spans="7:25" ht="39" x14ac:dyDescent="0.35">
      <c r="G388" s="67">
        <v>386</v>
      </c>
      <c r="H388" s="63" t="s">
        <v>2685</v>
      </c>
      <c r="I388" s="64" t="s">
        <v>780</v>
      </c>
      <c r="J388" s="64">
        <v>10886</v>
      </c>
      <c r="L388" s="40">
        <v>386</v>
      </c>
      <c r="M388" s="63" t="s">
        <v>2688</v>
      </c>
      <c r="N388" s="64" t="s">
        <v>1051</v>
      </c>
      <c r="O388" s="64">
        <v>10723</v>
      </c>
      <c r="Q388" s="40">
        <v>386</v>
      </c>
      <c r="R388" s="63" t="s">
        <v>2691</v>
      </c>
      <c r="S388" s="64" t="s">
        <v>1134</v>
      </c>
      <c r="T388" s="64">
        <v>11269</v>
      </c>
      <c r="V388" s="67">
        <v>386</v>
      </c>
      <c r="W388" s="63" t="s">
        <v>56</v>
      </c>
      <c r="X388" s="64" t="s">
        <v>2269</v>
      </c>
      <c r="Y388" s="64">
        <v>10113</v>
      </c>
    </row>
    <row r="389" spans="7:25" ht="39" x14ac:dyDescent="0.35">
      <c r="G389" s="67">
        <v>387</v>
      </c>
      <c r="H389" s="63" t="s">
        <v>2685</v>
      </c>
      <c r="I389" s="64" t="s">
        <v>782</v>
      </c>
      <c r="J389" s="64">
        <v>10887</v>
      </c>
      <c r="L389" s="40">
        <v>387</v>
      </c>
      <c r="M389" s="63" t="s">
        <v>2688</v>
      </c>
      <c r="N389" s="64" t="s">
        <v>1469</v>
      </c>
      <c r="O389" s="64">
        <v>11489</v>
      </c>
      <c r="Q389" s="40">
        <v>387</v>
      </c>
      <c r="R389" s="63" t="s">
        <v>2691</v>
      </c>
      <c r="S389" s="64" t="s">
        <v>1136</v>
      </c>
      <c r="T389" s="64">
        <v>11270</v>
      </c>
      <c r="V389" s="67">
        <v>387</v>
      </c>
      <c r="W389" s="63" t="s">
        <v>56</v>
      </c>
      <c r="X389" s="64" t="s">
        <v>2270</v>
      </c>
      <c r="Y389" s="64">
        <v>3376</v>
      </c>
    </row>
    <row r="390" spans="7:25" ht="39" x14ac:dyDescent="0.35">
      <c r="G390" s="67">
        <v>388</v>
      </c>
      <c r="H390" s="63" t="s">
        <v>2685</v>
      </c>
      <c r="I390" s="64" t="s">
        <v>2721</v>
      </c>
      <c r="J390" s="64">
        <v>11829</v>
      </c>
      <c r="L390" s="40">
        <v>388</v>
      </c>
      <c r="M390" s="63" t="s">
        <v>2688</v>
      </c>
      <c r="N390" s="64" t="s">
        <v>852</v>
      </c>
      <c r="O390" s="64">
        <v>11387</v>
      </c>
      <c r="Q390" s="40">
        <v>388</v>
      </c>
      <c r="R390" s="63" t="s">
        <v>2691</v>
      </c>
      <c r="S390" s="64" t="s">
        <v>2648</v>
      </c>
      <c r="T390" s="64">
        <v>11813</v>
      </c>
      <c r="V390" s="67">
        <v>388</v>
      </c>
      <c r="W390" s="63" t="s">
        <v>56</v>
      </c>
      <c r="X390" s="64" t="s">
        <v>2271</v>
      </c>
      <c r="Y390" s="64">
        <v>10285</v>
      </c>
    </row>
    <row r="391" spans="7:25" ht="39" x14ac:dyDescent="0.35">
      <c r="G391" s="67">
        <v>389</v>
      </c>
      <c r="H391" s="63" t="s">
        <v>2685</v>
      </c>
      <c r="I391" s="64" t="s">
        <v>789</v>
      </c>
      <c r="J391" s="64">
        <v>11363</v>
      </c>
      <c r="L391" s="40">
        <v>389</v>
      </c>
      <c r="M391" s="63" t="s">
        <v>2688</v>
      </c>
      <c r="N391" s="64" t="s">
        <v>212</v>
      </c>
      <c r="O391" s="64">
        <v>11320</v>
      </c>
      <c r="Q391" s="40">
        <v>389</v>
      </c>
      <c r="R391" s="63" t="s">
        <v>2691</v>
      </c>
      <c r="S391" s="64" t="s">
        <v>1138</v>
      </c>
      <c r="T391" s="64">
        <v>11271</v>
      </c>
      <c r="V391" s="67">
        <v>389</v>
      </c>
      <c r="W391" s="63" t="s">
        <v>56</v>
      </c>
      <c r="X391" s="64" t="s">
        <v>2272</v>
      </c>
      <c r="Y391" s="64">
        <v>3377</v>
      </c>
    </row>
    <row r="392" spans="7:25" ht="39" x14ac:dyDescent="0.35">
      <c r="G392" s="67">
        <v>390</v>
      </c>
      <c r="H392" s="63" t="s">
        <v>2685</v>
      </c>
      <c r="I392" s="64" t="s">
        <v>791</v>
      </c>
      <c r="J392" s="64">
        <v>10890</v>
      </c>
      <c r="L392" s="40">
        <v>390</v>
      </c>
      <c r="M392" s="63" t="s">
        <v>2688</v>
      </c>
      <c r="N392" s="64" t="s">
        <v>218</v>
      </c>
      <c r="O392" s="64">
        <v>11240</v>
      </c>
      <c r="Q392" s="40">
        <v>390</v>
      </c>
      <c r="R392" s="81" t="s">
        <v>2691</v>
      </c>
      <c r="S392" s="82" t="s">
        <v>3005</v>
      </c>
      <c r="T392" s="82">
        <v>12077</v>
      </c>
      <c r="V392" s="67">
        <v>390</v>
      </c>
      <c r="W392" s="63" t="s">
        <v>56</v>
      </c>
      <c r="X392" s="64" t="s">
        <v>2273</v>
      </c>
      <c r="Y392" s="64">
        <v>2842</v>
      </c>
    </row>
    <row r="393" spans="7:25" ht="39" x14ac:dyDescent="0.35">
      <c r="G393" s="67">
        <v>391</v>
      </c>
      <c r="H393" s="63" t="s">
        <v>2685</v>
      </c>
      <c r="I393" s="64" t="s">
        <v>796</v>
      </c>
      <c r="J393" s="64">
        <v>11226</v>
      </c>
      <c r="L393" s="40">
        <v>391</v>
      </c>
      <c r="M393" s="63" t="s">
        <v>2688</v>
      </c>
      <c r="N393" s="64" t="s">
        <v>1057</v>
      </c>
      <c r="O393" s="64">
        <v>10724</v>
      </c>
      <c r="Q393" s="40">
        <v>391</v>
      </c>
      <c r="R393" s="63" t="s">
        <v>2691</v>
      </c>
      <c r="S393" s="64" t="s">
        <v>1140</v>
      </c>
      <c r="T393" s="64">
        <v>10015</v>
      </c>
      <c r="V393" s="67">
        <v>391</v>
      </c>
      <c r="W393" s="63" t="s">
        <v>56</v>
      </c>
      <c r="X393" s="64" t="s">
        <v>2274</v>
      </c>
      <c r="Y393" s="64">
        <v>3378</v>
      </c>
    </row>
    <row r="394" spans="7:25" ht="39" x14ac:dyDescent="0.35">
      <c r="G394" s="67">
        <v>392</v>
      </c>
      <c r="H394" s="63" t="s">
        <v>2685</v>
      </c>
      <c r="I394" s="64" t="s">
        <v>798</v>
      </c>
      <c r="J394" s="64">
        <v>11227</v>
      </c>
      <c r="L394" s="40">
        <v>392</v>
      </c>
      <c r="M394" s="63" t="s">
        <v>2688</v>
      </c>
      <c r="N394" s="64" t="s">
        <v>1684</v>
      </c>
      <c r="O394" s="64">
        <v>11703</v>
      </c>
      <c r="Q394" s="40">
        <v>392</v>
      </c>
      <c r="R394" s="81" t="s">
        <v>2691</v>
      </c>
      <c r="S394" s="83" t="s">
        <v>3006</v>
      </c>
      <c r="T394" s="82">
        <v>12078</v>
      </c>
      <c r="V394" s="67">
        <v>392</v>
      </c>
      <c r="W394" s="63" t="s">
        <v>56</v>
      </c>
      <c r="X394" s="64" t="s">
        <v>2275</v>
      </c>
      <c r="Y394" s="64">
        <v>3379</v>
      </c>
    </row>
    <row r="395" spans="7:25" ht="39" x14ac:dyDescent="0.35">
      <c r="G395" s="67">
        <v>393</v>
      </c>
      <c r="H395" s="63" t="s">
        <v>2685</v>
      </c>
      <c r="I395" s="64" t="s">
        <v>800</v>
      </c>
      <c r="J395" s="64">
        <v>10892</v>
      </c>
      <c r="L395" s="40">
        <v>393</v>
      </c>
      <c r="M395" s="63" t="s">
        <v>2688</v>
      </c>
      <c r="N395" s="64" t="s">
        <v>2661</v>
      </c>
      <c r="O395" s="64">
        <v>11435</v>
      </c>
      <c r="Q395" s="40">
        <v>393</v>
      </c>
      <c r="R395" s="63" t="s">
        <v>2691</v>
      </c>
      <c r="S395" s="64" t="s">
        <v>1142</v>
      </c>
      <c r="T395" s="64">
        <v>11272</v>
      </c>
      <c r="V395" s="67">
        <v>393</v>
      </c>
      <c r="W395" s="63" t="s">
        <v>56</v>
      </c>
      <c r="X395" s="64" t="s">
        <v>2278</v>
      </c>
      <c r="Y395" s="64">
        <v>3382</v>
      </c>
    </row>
    <row r="396" spans="7:25" ht="39" x14ac:dyDescent="0.35">
      <c r="G396" s="67">
        <v>394</v>
      </c>
      <c r="H396" s="63" t="s">
        <v>2685</v>
      </c>
      <c r="I396" s="64" t="s">
        <v>1485</v>
      </c>
      <c r="J396" s="64">
        <v>11518</v>
      </c>
      <c r="L396" s="40">
        <v>394</v>
      </c>
      <c r="M396" s="63" t="s">
        <v>2688</v>
      </c>
      <c r="N396" s="64" t="s">
        <v>1564</v>
      </c>
      <c r="O396" s="64">
        <v>11436</v>
      </c>
      <c r="Q396" s="40">
        <v>394</v>
      </c>
      <c r="R396" s="63" t="s">
        <v>2691</v>
      </c>
      <c r="S396" s="64" t="s">
        <v>1143</v>
      </c>
      <c r="T396" s="64">
        <v>11273</v>
      </c>
      <c r="V396" s="67">
        <v>394</v>
      </c>
      <c r="W396" s="63" t="s">
        <v>56</v>
      </c>
      <c r="X396" s="64" t="s">
        <v>2279</v>
      </c>
      <c r="Y396" s="64">
        <v>10138</v>
      </c>
    </row>
    <row r="397" spans="7:25" ht="39" x14ac:dyDescent="0.35">
      <c r="G397" s="67">
        <v>395</v>
      </c>
      <c r="H397" s="63" t="s">
        <v>2685</v>
      </c>
      <c r="I397" s="64" t="s">
        <v>1486</v>
      </c>
      <c r="J397" s="64">
        <v>11519</v>
      </c>
      <c r="L397" s="40">
        <v>395</v>
      </c>
      <c r="M397" s="63" t="s">
        <v>2688</v>
      </c>
      <c r="N397" s="64" t="s">
        <v>1563</v>
      </c>
      <c r="O397" s="64">
        <v>11126</v>
      </c>
      <c r="Q397" s="40">
        <v>395</v>
      </c>
      <c r="R397" s="67" t="s">
        <v>440</v>
      </c>
      <c r="S397" s="64" t="s">
        <v>2560</v>
      </c>
      <c r="T397" s="64">
        <v>11289</v>
      </c>
      <c r="V397" s="67">
        <v>395</v>
      </c>
      <c r="W397" s="63" t="s">
        <v>56</v>
      </c>
      <c r="X397" s="64" t="s">
        <v>2280</v>
      </c>
      <c r="Y397" s="64">
        <v>2845</v>
      </c>
    </row>
    <row r="398" spans="7:25" ht="65" x14ac:dyDescent="0.35">
      <c r="G398" s="67">
        <v>396</v>
      </c>
      <c r="H398" s="63" t="s">
        <v>2685</v>
      </c>
      <c r="I398" s="64" t="s">
        <v>802</v>
      </c>
      <c r="J398" s="64">
        <v>11323</v>
      </c>
      <c r="L398" s="40">
        <v>396</v>
      </c>
      <c r="M398" s="63" t="s">
        <v>2688</v>
      </c>
      <c r="N398" s="64" t="s">
        <v>242</v>
      </c>
      <c r="O398" s="64">
        <v>11238</v>
      </c>
      <c r="Q398" s="40">
        <v>396</v>
      </c>
      <c r="R398" s="67" t="s">
        <v>2695</v>
      </c>
      <c r="S398" s="64" t="s">
        <v>1174</v>
      </c>
      <c r="T398" s="64">
        <v>11255</v>
      </c>
      <c r="V398" s="67">
        <v>396</v>
      </c>
      <c r="W398" s="63" t="s">
        <v>56</v>
      </c>
      <c r="X398" s="64" t="s">
        <v>2281</v>
      </c>
      <c r="Y398" s="64">
        <v>3383</v>
      </c>
    </row>
    <row r="399" spans="7:25" ht="52" x14ac:dyDescent="0.35">
      <c r="G399" s="67">
        <v>397</v>
      </c>
      <c r="H399" s="63" t="s">
        <v>2685</v>
      </c>
      <c r="I399" s="64" t="s">
        <v>804</v>
      </c>
      <c r="J399" s="64">
        <v>10893</v>
      </c>
      <c r="L399" s="40">
        <v>397</v>
      </c>
      <c r="M399" s="63" t="s">
        <v>2688</v>
      </c>
      <c r="N399" s="64" t="s">
        <v>1361</v>
      </c>
      <c r="O399" s="64">
        <v>11437</v>
      </c>
      <c r="Q399" s="40">
        <v>397</v>
      </c>
      <c r="R399" s="67" t="s">
        <v>1178</v>
      </c>
      <c r="S399" s="64" t="s">
        <v>1709</v>
      </c>
      <c r="T399" s="64">
        <v>11291</v>
      </c>
      <c r="V399" s="67">
        <v>397</v>
      </c>
      <c r="W399" s="63" t="s">
        <v>56</v>
      </c>
      <c r="X399" s="64" t="s">
        <v>2282</v>
      </c>
      <c r="Y399" s="64">
        <v>8169</v>
      </c>
    </row>
    <row r="400" spans="7:25" ht="26" x14ac:dyDescent="0.35">
      <c r="G400" s="67">
        <v>398</v>
      </c>
      <c r="H400" s="63" t="s">
        <v>2685</v>
      </c>
      <c r="I400" s="64" t="s">
        <v>806</v>
      </c>
      <c r="J400" s="64">
        <v>11347</v>
      </c>
      <c r="L400" s="40">
        <v>398</v>
      </c>
      <c r="M400" s="63" t="s">
        <v>2688</v>
      </c>
      <c r="N400" s="64" t="s">
        <v>1062</v>
      </c>
      <c r="O400" s="64">
        <v>11211</v>
      </c>
      <c r="Q400" s="40">
        <v>398</v>
      </c>
      <c r="R400" s="67" t="s">
        <v>1176</v>
      </c>
      <c r="S400" s="64" t="s">
        <v>2797</v>
      </c>
      <c r="T400" s="64">
        <v>11899</v>
      </c>
      <c r="V400" s="67">
        <v>398</v>
      </c>
      <c r="W400" s="63" t="s">
        <v>56</v>
      </c>
      <c r="X400" s="64" t="s">
        <v>2283</v>
      </c>
      <c r="Y400" s="64">
        <v>3384</v>
      </c>
    </row>
    <row r="401" spans="7:25" ht="26" x14ac:dyDescent="0.35">
      <c r="G401" s="67">
        <v>399</v>
      </c>
      <c r="H401" s="63" t="s">
        <v>2685</v>
      </c>
      <c r="I401" s="64" t="s">
        <v>808</v>
      </c>
      <c r="J401" s="64">
        <v>10894</v>
      </c>
      <c r="L401" s="40">
        <v>399</v>
      </c>
      <c r="M401" s="63" t="s">
        <v>2688</v>
      </c>
      <c r="N401" s="64" t="s">
        <v>257</v>
      </c>
      <c r="O401" s="64">
        <v>11239</v>
      </c>
      <c r="Q401" s="40">
        <v>399</v>
      </c>
      <c r="R401" s="67" t="s">
        <v>1176</v>
      </c>
      <c r="S401" s="64" t="s">
        <v>2794</v>
      </c>
      <c r="T401" s="64">
        <v>11896</v>
      </c>
      <c r="V401" s="67">
        <v>399</v>
      </c>
      <c r="W401" s="63" t="s">
        <v>56</v>
      </c>
      <c r="X401" s="64" t="s">
        <v>2284</v>
      </c>
      <c r="Y401" s="64">
        <v>10287</v>
      </c>
    </row>
    <row r="402" spans="7:25" ht="26" x14ac:dyDescent="0.35">
      <c r="G402" s="67">
        <v>400</v>
      </c>
      <c r="H402" s="63" t="s">
        <v>2685</v>
      </c>
      <c r="I402" s="64" t="s">
        <v>810</v>
      </c>
      <c r="J402" s="64">
        <v>10895</v>
      </c>
      <c r="L402" s="40">
        <v>400</v>
      </c>
      <c r="M402" s="63" t="s">
        <v>2688</v>
      </c>
      <c r="N402" s="64" t="s">
        <v>265</v>
      </c>
      <c r="O402" s="64">
        <v>11207</v>
      </c>
      <c r="Q402" s="40">
        <v>400</v>
      </c>
      <c r="R402" s="67" t="s">
        <v>1176</v>
      </c>
      <c r="S402" s="64" t="s">
        <v>2795</v>
      </c>
      <c r="T402" s="64">
        <v>11897</v>
      </c>
      <c r="V402" s="67">
        <v>400</v>
      </c>
      <c r="W402" s="63" t="s">
        <v>56</v>
      </c>
      <c r="X402" s="64" t="s">
        <v>2304</v>
      </c>
      <c r="Y402" s="64">
        <v>3017</v>
      </c>
    </row>
    <row r="403" spans="7:25" ht="26" x14ac:dyDescent="0.35">
      <c r="G403" s="67">
        <v>401</v>
      </c>
      <c r="H403" s="63" t="s">
        <v>2685</v>
      </c>
      <c r="I403" s="64" t="s">
        <v>1194</v>
      </c>
      <c r="J403" s="64">
        <v>11504</v>
      </c>
      <c r="L403" s="40">
        <v>401</v>
      </c>
      <c r="M403" s="63" t="s">
        <v>2688</v>
      </c>
      <c r="N403" s="64" t="s">
        <v>269</v>
      </c>
      <c r="O403" s="64">
        <v>11212</v>
      </c>
      <c r="Q403" s="40">
        <v>401</v>
      </c>
      <c r="R403" s="67" t="s">
        <v>1176</v>
      </c>
      <c r="S403" s="64" t="s">
        <v>2792</v>
      </c>
      <c r="T403" s="64">
        <v>11894</v>
      </c>
      <c r="V403" s="67">
        <v>401</v>
      </c>
      <c r="W403" s="63" t="s">
        <v>56</v>
      </c>
      <c r="X403" s="64" t="s">
        <v>2285</v>
      </c>
      <c r="Y403" s="64">
        <v>3385</v>
      </c>
    </row>
    <row r="404" spans="7:25" ht="26" x14ac:dyDescent="0.35">
      <c r="G404" s="67">
        <v>402</v>
      </c>
      <c r="H404" s="81" t="s">
        <v>2685</v>
      </c>
      <c r="I404" s="82" t="s">
        <v>3001</v>
      </c>
      <c r="J404" s="82">
        <v>12076</v>
      </c>
      <c r="L404" s="40">
        <v>402</v>
      </c>
      <c r="M404" s="63" t="s">
        <v>2688</v>
      </c>
      <c r="N404" s="64" t="s">
        <v>271</v>
      </c>
      <c r="O404" s="64">
        <v>11209</v>
      </c>
      <c r="Q404" s="40">
        <v>402</v>
      </c>
      <c r="R404" s="67" t="s">
        <v>1176</v>
      </c>
      <c r="S404" s="64" t="s">
        <v>2796</v>
      </c>
      <c r="T404" s="64">
        <v>11898</v>
      </c>
      <c r="V404" s="67">
        <v>402</v>
      </c>
      <c r="W404" s="63" t="s">
        <v>56</v>
      </c>
      <c r="X404" s="64" t="s">
        <v>2263</v>
      </c>
      <c r="Y404" s="64">
        <v>2835</v>
      </c>
    </row>
    <row r="405" spans="7:25" ht="26" x14ac:dyDescent="0.35">
      <c r="G405" s="67">
        <v>403</v>
      </c>
      <c r="H405" s="63" t="s">
        <v>2685</v>
      </c>
      <c r="I405" s="64" t="s">
        <v>812</v>
      </c>
      <c r="J405" s="64">
        <v>11349</v>
      </c>
      <c r="L405" s="40">
        <v>403</v>
      </c>
      <c r="M405" s="63" t="s">
        <v>2688</v>
      </c>
      <c r="N405" s="64" t="s">
        <v>274</v>
      </c>
      <c r="O405" s="64">
        <v>11210</v>
      </c>
      <c r="Q405" s="40">
        <v>403</v>
      </c>
      <c r="R405" s="67" t="s">
        <v>1176</v>
      </c>
      <c r="S405" s="64" t="s">
        <v>2799</v>
      </c>
      <c r="T405" s="64">
        <v>11901</v>
      </c>
      <c r="V405" s="67">
        <v>403</v>
      </c>
      <c r="W405" s="63" t="s">
        <v>56</v>
      </c>
      <c r="X405" s="64" t="s">
        <v>2286</v>
      </c>
      <c r="Y405" s="64">
        <v>3386</v>
      </c>
    </row>
    <row r="406" spans="7:25" ht="26" x14ac:dyDescent="0.35">
      <c r="G406" s="67">
        <v>404</v>
      </c>
      <c r="H406" s="63" t="s">
        <v>2685</v>
      </c>
      <c r="I406" s="64" t="s">
        <v>2647</v>
      </c>
      <c r="J406" s="64">
        <v>11324</v>
      </c>
      <c r="L406" s="40">
        <v>404</v>
      </c>
      <c r="M406" s="63" t="s">
        <v>2688</v>
      </c>
      <c r="N406" s="64" t="s">
        <v>277</v>
      </c>
      <c r="O406" s="64">
        <v>11208</v>
      </c>
      <c r="Q406" s="40">
        <v>404</v>
      </c>
      <c r="R406" s="67" t="s">
        <v>1176</v>
      </c>
      <c r="S406" s="64" t="s">
        <v>2802</v>
      </c>
      <c r="T406" s="64">
        <v>11904</v>
      </c>
      <c r="V406" s="67">
        <v>404</v>
      </c>
      <c r="W406" s="63" t="s">
        <v>56</v>
      </c>
      <c r="X406" s="64" t="s">
        <v>2287</v>
      </c>
      <c r="Y406" s="64">
        <v>2847</v>
      </c>
    </row>
    <row r="407" spans="7:25" ht="26" x14ac:dyDescent="0.35">
      <c r="G407" s="67">
        <v>405</v>
      </c>
      <c r="H407" s="63" t="s">
        <v>2685</v>
      </c>
      <c r="I407" s="64" t="s">
        <v>814</v>
      </c>
      <c r="J407" s="64">
        <v>11241</v>
      </c>
      <c r="L407" s="40">
        <v>405</v>
      </c>
      <c r="M407" s="63" t="s">
        <v>2689</v>
      </c>
      <c r="N407" s="64" t="s">
        <v>1332</v>
      </c>
      <c r="O407" s="64">
        <v>11376</v>
      </c>
      <c r="Q407" s="40">
        <v>405</v>
      </c>
      <c r="R407" s="67" t="s">
        <v>1176</v>
      </c>
      <c r="S407" s="64" t="s">
        <v>2801</v>
      </c>
      <c r="T407" s="64">
        <v>11903</v>
      </c>
      <c r="V407" s="67">
        <v>405</v>
      </c>
      <c r="W407" s="63" t="s">
        <v>56</v>
      </c>
      <c r="X407" s="64" t="s">
        <v>2288</v>
      </c>
      <c r="Y407" s="64">
        <v>3387</v>
      </c>
    </row>
    <row r="408" spans="7:25" ht="26" x14ac:dyDescent="0.35">
      <c r="G408" s="67">
        <v>406</v>
      </c>
      <c r="H408" s="63" t="s">
        <v>2685</v>
      </c>
      <c r="I408" s="64" t="s">
        <v>1659</v>
      </c>
      <c r="J408" s="64">
        <v>11665</v>
      </c>
      <c r="L408" s="40">
        <v>406</v>
      </c>
      <c r="M408" s="63" t="s">
        <v>2689</v>
      </c>
      <c r="N408" s="64" t="s">
        <v>109</v>
      </c>
      <c r="O408" s="64">
        <v>11243</v>
      </c>
      <c r="Q408" s="40">
        <v>406</v>
      </c>
      <c r="R408" s="67" t="s">
        <v>1176</v>
      </c>
      <c r="S408" s="64" t="s">
        <v>674</v>
      </c>
      <c r="T408" s="64">
        <v>10386</v>
      </c>
      <c r="V408" s="67">
        <v>406</v>
      </c>
      <c r="W408" s="63" t="s">
        <v>56</v>
      </c>
      <c r="X408" s="64" t="s">
        <v>2290</v>
      </c>
      <c r="Y408" s="64">
        <v>3388</v>
      </c>
    </row>
    <row r="409" spans="7:25" ht="26" x14ac:dyDescent="0.35">
      <c r="G409" s="67">
        <v>407</v>
      </c>
      <c r="H409" s="63" t="s">
        <v>2685</v>
      </c>
      <c r="I409" s="64" t="s">
        <v>1660</v>
      </c>
      <c r="J409" s="64">
        <v>11666</v>
      </c>
      <c r="L409" s="40">
        <v>407</v>
      </c>
      <c r="M409" s="63" t="s">
        <v>2689</v>
      </c>
      <c r="N409" s="64" t="s">
        <v>1196</v>
      </c>
      <c r="O409" s="64">
        <v>11438</v>
      </c>
      <c r="Q409" s="40">
        <v>407</v>
      </c>
      <c r="R409" s="67" t="s">
        <v>1176</v>
      </c>
      <c r="S409" s="64" t="s">
        <v>2793</v>
      </c>
      <c r="T409" s="64">
        <v>11895</v>
      </c>
      <c r="V409" s="67">
        <v>407</v>
      </c>
      <c r="W409" s="63" t="s">
        <v>56</v>
      </c>
      <c r="X409" s="64" t="s">
        <v>2344</v>
      </c>
      <c r="Y409" s="64">
        <v>3391</v>
      </c>
    </row>
    <row r="410" spans="7:25" ht="26" x14ac:dyDescent="0.35">
      <c r="G410" s="67">
        <v>408</v>
      </c>
      <c r="H410" s="63" t="s">
        <v>2685</v>
      </c>
      <c r="I410" s="64" t="s">
        <v>1661</v>
      </c>
      <c r="J410" s="64">
        <v>11667</v>
      </c>
      <c r="L410" s="40">
        <v>408</v>
      </c>
      <c r="M410" s="63" t="s">
        <v>2689</v>
      </c>
      <c r="N410" s="64" t="s">
        <v>952</v>
      </c>
      <c r="O410" s="64">
        <v>11439</v>
      </c>
      <c r="Q410" s="40">
        <v>408</v>
      </c>
      <c r="R410" s="67" t="s">
        <v>1176</v>
      </c>
      <c r="S410" s="64" t="s">
        <v>2798</v>
      </c>
      <c r="T410" s="64">
        <v>11900</v>
      </c>
      <c r="V410" s="67">
        <v>408</v>
      </c>
      <c r="W410" s="63" t="s">
        <v>56</v>
      </c>
      <c r="X410" s="64" t="s">
        <v>2159</v>
      </c>
      <c r="Y410" s="64">
        <v>2849</v>
      </c>
    </row>
    <row r="411" spans="7:25" ht="26" x14ac:dyDescent="0.35">
      <c r="G411" s="67">
        <v>409</v>
      </c>
      <c r="H411" s="63" t="s">
        <v>2685</v>
      </c>
      <c r="I411" s="64" t="s">
        <v>195</v>
      </c>
      <c r="J411" s="64">
        <v>11314</v>
      </c>
      <c r="L411" s="40">
        <v>409</v>
      </c>
      <c r="M411" s="63" t="s">
        <v>1683</v>
      </c>
      <c r="N411" s="64" t="s">
        <v>1637</v>
      </c>
      <c r="O411" s="64">
        <v>11643</v>
      </c>
      <c r="Q411" s="40">
        <v>409</v>
      </c>
      <c r="R411" s="67" t="s">
        <v>1176</v>
      </c>
      <c r="S411" s="64" t="s">
        <v>2800</v>
      </c>
      <c r="T411" s="64">
        <v>11902</v>
      </c>
      <c r="V411" s="67">
        <v>409</v>
      </c>
      <c r="W411" s="63" t="s">
        <v>56</v>
      </c>
      <c r="X411" s="64" t="s">
        <v>2160</v>
      </c>
      <c r="Y411" s="64">
        <v>2850</v>
      </c>
    </row>
    <row r="412" spans="7:25" ht="26" x14ac:dyDescent="0.35">
      <c r="G412" s="67">
        <v>410</v>
      </c>
      <c r="H412" s="63" t="s">
        <v>2685</v>
      </c>
      <c r="I412" s="64" t="s">
        <v>198</v>
      </c>
      <c r="J412" s="64">
        <v>11318</v>
      </c>
      <c r="L412" s="40">
        <v>410</v>
      </c>
      <c r="M412" s="63" t="s">
        <v>1683</v>
      </c>
      <c r="N412" s="64" t="s">
        <v>1592</v>
      </c>
      <c r="O412" s="64">
        <v>11596</v>
      </c>
      <c r="Q412" s="40">
        <v>410</v>
      </c>
      <c r="R412" s="67" t="s">
        <v>1176</v>
      </c>
      <c r="S412" s="64" t="s">
        <v>1177</v>
      </c>
      <c r="T412" s="64">
        <v>8093</v>
      </c>
      <c r="V412" s="67">
        <v>410</v>
      </c>
      <c r="W412" s="63" t="s">
        <v>56</v>
      </c>
      <c r="X412" s="64" t="s">
        <v>2339</v>
      </c>
      <c r="Y412" s="64">
        <v>8195</v>
      </c>
    </row>
    <row r="413" spans="7:25" ht="26" x14ac:dyDescent="0.35">
      <c r="G413" s="67">
        <v>411</v>
      </c>
      <c r="H413" s="63" t="s">
        <v>2685</v>
      </c>
      <c r="I413" s="64" t="s">
        <v>846</v>
      </c>
      <c r="J413" s="64">
        <v>11388</v>
      </c>
      <c r="L413" s="40">
        <v>411</v>
      </c>
      <c r="M413" s="63" t="s">
        <v>1683</v>
      </c>
      <c r="N413" s="64" t="s">
        <v>1593</v>
      </c>
      <c r="O413" s="64">
        <v>11597</v>
      </c>
      <c r="Q413" s="40">
        <v>411</v>
      </c>
      <c r="R413" s="63" t="s">
        <v>2685</v>
      </c>
      <c r="S413" s="64" t="s">
        <v>2633</v>
      </c>
      <c r="T413" s="64">
        <v>11795</v>
      </c>
      <c r="V413" s="67">
        <v>411</v>
      </c>
      <c r="W413" s="63" t="s">
        <v>56</v>
      </c>
      <c r="X413" s="64" t="s">
        <v>2161</v>
      </c>
      <c r="Y413" s="64">
        <v>2851</v>
      </c>
    </row>
    <row r="414" spans="7:25" ht="26" x14ac:dyDescent="0.35">
      <c r="G414" s="67">
        <v>412</v>
      </c>
      <c r="H414" s="63" t="s">
        <v>2685</v>
      </c>
      <c r="I414" s="64" t="s">
        <v>848</v>
      </c>
      <c r="J414" s="64">
        <v>11390</v>
      </c>
      <c r="L414" s="40">
        <v>412</v>
      </c>
      <c r="M414" s="63" t="s">
        <v>1683</v>
      </c>
      <c r="N414" s="64" t="s">
        <v>1594</v>
      </c>
      <c r="O414" s="64">
        <v>11598</v>
      </c>
      <c r="Q414" s="40">
        <v>412</v>
      </c>
      <c r="R414" s="63" t="s">
        <v>2685</v>
      </c>
      <c r="S414" s="64" t="s">
        <v>2634</v>
      </c>
      <c r="T414" s="64">
        <v>11796</v>
      </c>
      <c r="V414" s="67">
        <v>412</v>
      </c>
      <c r="W414" s="63" t="s">
        <v>56</v>
      </c>
      <c r="X414" s="64" t="s">
        <v>2340</v>
      </c>
      <c r="Y414" s="64">
        <v>2852</v>
      </c>
    </row>
    <row r="415" spans="7:25" ht="26" x14ac:dyDescent="0.35">
      <c r="G415" s="67">
        <v>413</v>
      </c>
      <c r="H415" s="63" t="s">
        <v>2685</v>
      </c>
      <c r="I415" s="64" t="s">
        <v>2866</v>
      </c>
      <c r="J415" s="64">
        <v>11989</v>
      </c>
      <c r="L415" s="40">
        <v>413</v>
      </c>
      <c r="M415" s="63" t="s">
        <v>1683</v>
      </c>
      <c r="N415" s="64" t="s">
        <v>1597</v>
      </c>
      <c r="O415" s="64">
        <v>11601</v>
      </c>
      <c r="Q415" s="40">
        <v>413</v>
      </c>
      <c r="R415" s="63" t="s">
        <v>2685</v>
      </c>
      <c r="S415" s="64" t="s">
        <v>1669</v>
      </c>
      <c r="T415" s="64">
        <v>11675</v>
      </c>
      <c r="V415" s="67">
        <v>413</v>
      </c>
      <c r="W415" s="63" t="s">
        <v>56</v>
      </c>
      <c r="X415" s="64" t="s">
        <v>2162</v>
      </c>
      <c r="Y415" s="64">
        <v>2855</v>
      </c>
    </row>
    <row r="416" spans="7:25" ht="26" x14ac:dyDescent="0.35">
      <c r="G416" s="67">
        <v>414</v>
      </c>
      <c r="H416" s="63" t="s">
        <v>2685</v>
      </c>
      <c r="I416" s="64" t="s">
        <v>201</v>
      </c>
      <c r="J416" s="64">
        <v>11319</v>
      </c>
      <c r="L416" s="40">
        <v>414</v>
      </c>
      <c r="M416" s="63" t="s">
        <v>1683</v>
      </c>
      <c r="N416" s="64" t="s">
        <v>1598</v>
      </c>
      <c r="O416" s="64">
        <v>11602</v>
      </c>
      <c r="Q416" s="40">
        <v>414</v>
      </c>
      <c r="R416" s="63" t="s">
        <v>2685</v>
      </c>
      <c r="S416" s="64" t="s">
        <v>2644</v>
      </c>
      <c r="T416" s="64">
        <v>11807</v>
      </c>
      <c r="V416" s="67">
        <v>414</v>
      </c>
      <c r="W416" s="63" t="s">
        <v>56</v>
      </c>
      <c r="X416" s="64" t="s">
        <v>2163</v>
      </c>
      <c r="Y416" s="64">
        <v>2857</v>
      </c>
    </row>
    <row r="417" spans="7:25" ht="26" x14ac:dyDescent="0.35">
      <c r="G417" s="67">
        <v>415</v>
      </c>
      <c r="H417" s="81" t="s">
        <v>2685</v>
      </c>
      <c r="I417" s="82" t="s">
        <v>816</v>
      </c>
      <c r="J417" s="82">
        <v>12079</v>
      </c>
      <c r="L417" s="40">
        <v>415</v>
      </c>
      <c r="M417" s="63" t="s">
        <v>1683</v>
      </c>
      <c r="N417" s="64" t="s">
        <v>1599</v>
      </c>
      <c r="O417" s="64">
        <v>11603</v>
      </c>
      <c r="Q417" s="40">
        <v>415</v>
      </c>
      <c r="R417" s="63" t="s">
        <v>2685</v>
      </c>
      <c r="S417" s="64" t="s">
        <v>2635</v>
      </c>
      <c r="T417" s="64">
        <v>11797</v>
      </c>
      <c r="V417" s="67">
        <v>415</v>
      </c>
      <c r="W417" s="63" t="s">
        <v>56</v>
      </c>
      <c r="X417" s="64" t="s">
        <v>2343</v>
      </c>
      <c r="Y417" s="64">
        <v>10600</v>
      </c>
    </row>
    <row r="418" spans="7:25" ht="26" x14ac:dyDescent="0.35">
      <c r="G418" s="67">
        <v>416</v>
      </c>
      <c r="H418" s="63" t="s">
        <v>2685</v>
      </c>
      <c r="I418" s="64" t="s">
        <v>818</v>
      </c>
      <c r="J418" s="64">
        <v>10897</v>
      </c>
      <c r="L418" s="40">
        <v>416</v>
      </c>
      <c r="M418" s="63" t="s">
        <v>1683</v>
      </c>
      <c r="N418" s="64" t="s">
        <v>1600</v>
      </c>
      <c r="O418" s="64">
        <v>11604</v>
      </c>
      <c r="Q418" s="40">
        <v>416</v>
      </c>
      <c r="R418" s="63" t="s">
        <v>2685</v>
      </c>
      <c r="S418" s="64" t="s">
        <v>2636</v>
      </c>
      <c r="T418" s="64">
        <v>11798</v>
      </c>
      <c r="V418" s="67">
        <v>416</v>
      </c>
      <c r="W418" s="63" t="s">
        <v>56</v>
      </c>
      <c r="X418" s="64" t="s">
        <v>1179</v>
      </c>
      <c r="Y418" s="64">
        <v>8215</v>
      </c>
    </row>
    <row r="419" spans="7:25" ht="26" x14ac:dyDescent="0.35">
      <c r="G419" s="67">
        <v>417</v>
      </c>
      <c r="H419" s="63" t="s">
        <v>2685</v>
      </c>
      <c r="I419" s="64" t="s">
        <v>820</v>
      </c>
      <c r="J419" s="64">
        <v>10898</v>
      </c>
      <c r="L419" s="40">
        <v>417</v>
      </c>
      <c r="M419" s="63" t="s">
        <v>1683</v>
      </c>
      <c r="N419" s="64" t="s">
        <v>1601</v>
      </c>
      <c r="O419" s="64">
        <v>11605</v>
      </c>
      <c r="Q419" s="40">
        <v>417</v>
      </c>
      <c r="R419" s="63" t="s">
        <v>2685</v>
      </c>
      <c r="S419" s="64" t="s">
        <v>1549</v>
      </c>
      <c r="T419" s="64">
        <v>11589</v>
      </c>
      <c r="V419" s="67">
        <v>417</v>
      </c>
      <c r="W419" s="63" t="s">
        <v>56</v>
      </c>
      <c r="X419" s="64" t="s">
        <v>2345</v>
      </c>
      <c r="Y419" s="64">
        <v>10387</v>
      </c>
    </row>
    <row r="420" spans="7:25" ht="26" x14ac:dyDescent="0.35">
      <c r="G420" s="67">
        <v>418</v>
      </c>
      <c r="H420" s="63" t="s">
        <v>2685</v>
      </c>
      <c r="I420" s="64" t="s">
        <v>822</v>
      </c>
      <c r="J420" s="64">
        <v>10899</v>
      </c>
      <c r="L420" s="40">
        <v>418</v>
      </c>
      <c r="M420" s="63" t="s">
        <v>1683</v>
      </c>
      <c r="N420" s="64" t="s">
        <v>1602</v>
      </c>
      <c r="O420" s="64">
        <v>11606</v>
      </c>
      <c r="Q420" s="40">
        <v>418</v>
      </c>
      <c r="R420" s="63" t="s">
        <v>2685</v>
      </c>
      <c r="S420" s="64" t="s">
        <v>1550</v>
      </c>
      <c r="T420" s="64">
        <v>11590</v>
      </c>
      <c r="V420" s="67">
        <v>418</v>
      </c>
      <c r="W420" s="63" t="s">
        <v>56</v>
      </c>
      <c r="X420" s="64" t="s">
        <v>2346</v>
      </c>
      <c r="Y420" s="64">
        <v>2861</v>
      </c>
    </row>
    <row r="421" spans="7:25" ht="26" x14ac:dyDescent="0.35">
      <c r="G421" s="67">
        <v>419</v>
      </c>
      <c r="H421" s="63" t="s">
        <v>2685</v>
      </c>
      <c r="I421" s="64" t="s">
        <v>1480</v>
      </c>
      <c r="J421" s="64">
        <v>11513</v>
      </c>
      <c r="L421" s="40">
        <v>419</v>
      </c>
      <c r="M421" s="63" t="s">
        <v>1683</v>
      </c>
      <c r="N421" s="64" t="s">
        <v>1603</v>
      </c>
      <c r="O421" s="64">
        <v>11607</v>
      </c>
      <c r="Q421" s="40">
        <v>419</v>
      </c>
      <c r="R421" s="63" t="s">
        <v>2685</v>
      </c>
      <c r="S421" s="64" t="s">
        <v>2637</v>
      </c>
      <c r="T421" s="64">
        <v>11799</v>
      </c>
      <c r="V421" s="67">
        <v>419</v>
      </c>
      <c r="W421" s="63" t="s">
        <v>56</v>
      </c>
      <c r="X421" s="64" t="s">
        <v>2347</v>
      </c>
      <c r="Y421" s="64">
        <v>2862</v>
      </c>
    </row>
    <row r="422" spans="7:25" ht="26" x14ac:dyDescent="0.35">
      <c r="G422" s="67">
        <v>420</v>
      </c>
      <c r="H422" s="63" t="s">
        <v>2685</v>
      </c>
      <c r="I422" s="64" t="s">
        <v>824</v>
      </c>
      <c r="J422" s="64">
        <v>10900</v>
      </c>
      <c r="L422" s="40">
        <v>420</v>
      </c>
      <c r="M422" s="63" t="s">
        <v>1683</v>
      </c>
      <c r="N422" s="64" t="s">
        <v>1605</v>
      </c>
      <c r="O422" s="64">
        <v>11609</v>
      </c>
      <c r="Q422" s="40">
        <v>420</v>
      </c>
      <c r="R422" s="63" t="s">
        <v>2685</v>
      </c>
      <c r="S422" s="64" t="s">
        <v>1666</v>
      </c>
      <c r="T422" s="64">
        <v>11672</v>
      </c>
      <c r="V422" s="67">
        <v>420</v>
      </c>
      <c r="W422" s="63" t="s">
        <v>56</v>
      </c>
      <c r="X422" s="64" t="s">
        <v>2348</v>
      </c>
      <c r="Y422" s="64">
        <v>2863</v>
      </c>
    </row>
    <row r="423" spans="7:25" ht="26" x14ac:dyDescent="0.35">
      <c r="G423" s="67">
        <v>421</v>
      </c>
      <c r="H423" s="63" t="s">
        <v>2685</v>
      </c>
      <c r="I423" s="64" t="s">
        <v>825</v>
      </c>
      <c r="J423" s="64">
        <v>10901</v>
      </c>
      <c r="L423" s="40">
        <v>421</v>
      </c>
      <c r="M423" s="63" t="s">
        <v>1683</v>
      </c>
      <c r="N423" s="64" t="s">
        <v>1606</v>
      </c>
      <c r="O423" s="64">
        <v>11610</v>
      </c>
      <c r="Q423" s="40">
        <v>421</v>
      </c>
      <c r="R423" s="63" t="s">
        <v>2685</v>
      </c>
      <c r="S423" s="64" t="s">
        <v>1551</v>
      </c>
      <c r="T423" s="64">
        <v>11591</v>
      </c>
      <c r="V423" s="67">
        <v>421</v>
      </c>
      <c r="W423" s="63" t="s">
        <v>56</v>
      </c>
      <c r="X423" s="64" t="s">
        <v>2349</v>
      </c>
      <c r="Y423" s="64">
        <v>2864</v>
      </c>
    </row>
    <row r="424" spans="7:25" ht="26" x14ac:dyDescent="0.35">
      <c r="G424" s="67">
        <v>422</v>
      </c>
      <c r="H424" s="8" t="s">
        <v>2685</v>
      </c>
      <c r="I424" s="64" t="s">
        <v>2716</v>
      </c>
      <c r="J424" s="64">
        <v>11856</v>
      </c>
      <c r="L424" s="40">
        <v>422</v>
      </c>
      <c r="M424" s="63" t="s">
        <v>1683</v>
      </c>
      <c r="N424" s="64" t="s">
        <v>1607</v>
      </c>
      <c r="O424" s="64">
        <v>11611</v>
      </c>
      <c r="Q424" s="40">
        <v>422</v>
      </c>
      <c r="R424" s="63" t="s">
        <v>2685</v>
      </c>
      <c r="S424" s="64" t="s">
        <v>1667</v>
      </c>
      <c r="T424" s="64">
        <v>11673</v>
      </c>
      <c r="V424" s="67">
        <v>422</v>
      </c>
      <c r="W424" s="63" t="s">
        <v>56</v>
      </c>
      <c r="X424" s="64" t="s">
        <v>2341</v>
      </c>
      <c r="Y424" s="64">
        <v>8303</v>
      </c>
    </row>
    <row r="425" spans="7:25" ht="26" x14ac:dyDescent="0.35">
      <c r="G425" s="67">
        <v>423</v>
      </c>
      <c r="H425" s="8" t="s">
        <v>2685</v>
      </c>
      <c r="I425" s="64" t="s">
        <v>2717</v>
      </c>
      <c r="J425" s="64">
        <v>11857</v>
      </c>
      <c r="L425" s="40">
        <v>423</v>
      </c>
      <c r="M425" s="63" t="s">
        <v>1683</v>
      </c>
      <c r="N425" s="64" t="s">
        <v>1609</v>
      </c>
      <c r="O425" s="64">
        <v>11613</v>
      </c>
      <c r="Q425" s="40">
        <v>423</v>
      </c>
      <c r="R425" s="63" t="s">
        <v>2685</v>
      </c>
      <c r="S425" s="64" t="s">
        <v>1662</v>
      </c>
      <c r="T425" s="64">
        <v>11668</v>
      </c>
      <c r="V425" s="67">
        <v>423</v>
      </c>
      <c r="W425" s="63" t="s">
        <v>56</v>
      </c>
      <c r="X425" s="64" t="s">
        <v>1180</v>
      </c>
      <c r="Y425" s="64">
        <v>10288</v>
      </c>
    </row>
    <row r="426" spans="7:25" ht="26" x14ac:dyDescent="0.35">
      <c r="G426" s="67">
        <v>424</v>
      </c>
      <c r="H426" s="63" t="s">
        <v>2685</v>
      </c>
      <c r="I426" s="64" t="s">
        <v>920</v>
      </c>
      <c r="J426" s="64">
        <v>11887</v>
      </c>
      <c r="L426" s="40">
        <v>424</v>
      </c>
      <c r="M426" s="63" t="s">
        <v>1683</v>
      </c>
      <c r="N426" s="64" t="s">
        <v>1611</v>
      </c>
      <c r="O426" s="64">
        <v>11616</v>
      </c>
      <c r="Q426" s="40">
        <v>424</v>
      </c>
      <c r="R426" s="63" t="s">
        <v>2685</v>
      </c>
      <c r="S426" s="64" t="s">
        <v>1670</v>
      </c>
      <c r="T426" s="64">
        <v>11676</v>
      </c>
      <c r="V426" s="67">
        <v>424</v>
      </c>
      <c r="W426" s="63" t="s">
        <v>56</v>
      </c>
      <c r="X426" s="64" t="s">
        <v>2361</v>
      </c>
      <c r="Y426" s="64">
        <v>10291</v>
      </c>
    </row>
    <row r="427" spans="7:25" ht="26" x14ac:dyDescent="0.35">
      <c r="G427" s="67">
        <v>425</v>
      </c>
      <c r="H427" s="8" t="s">
        <v>2685</v>
      </c>
      <c r="I427" s="64" t="s">
        <v>2718</v>
      </c>
      <c r="J427" s="64">
        <v>11858</v>
      </c>
      <c r="L427" s="40">
        <v>425</v>
      </c>
      <c r="M427" s="63" t="s">
        <v>1683</v>
      </c>
      <c r="N427" s="64" t="s">
        <v>1612</v>
      </c>
      <c r="O427" s="64">
        <v>11617</v>
      </c>
      <c r="Q427" s="40">
        <v>425</v>
      </c>
      <c r="R427" s="63" t="s">
        <v>2685</v>
      </c>
      <c r="S427" s="64" t="s">
        <v>1664</v>
      </c>
      <c r="T427" s="64">
        <v>11670</v>
      </c>
      <c r="V427" s="67">
        <v>425</v>
      </c>
      <c r="W427" s="63" t="s">
        <v>56</v>
      </c>
      <c r="X427" s="64" t="s">
        <v>2375</v>
      </c>
      <c r="Y427" s="64">
        <v>2887</v>
      </c>
    </row>
    <row r="428" spans="7:25" ht="26" x14ac:dyDescent="0.35">
      <c r="G428" s="67">
        <v>426</v>
      </c>
      <c r="H428" s="63" t="s">
        <v>2685</v>
      </c>
      <c r="I428" s="64" t="s">
        <v>828</v>
      </c>
      <c r="J428" s="64">
        <v>11204</v>
      </c>
      <c r="L428" s="40">
        <v>426</v>
      </c>
      <c r="M428" s="63" t="s">
        <v>1683</v>
      </c>
      <c r="N428" s="64" t="s">
        <v>1613</v>
      </c>
      <c r="O428" s="64">
        <v>11618</v>
      </c>
      <c r="Q428" s="40">
        <v>426</v>
      </c>
      <c r="R428" s="63" t="s">
        <v>2685</v>
      </c>
      <c r="S428" s="64" t="s">
        <v>1668</v>
      </c>
      <c r="T428" s="64">
        <v>11674</v>
      </c>
      <c r="V428" s="67">
        <v>426</v>
      </c>
      <c r="W428" s="63" t="s">
        <v>56</v>
      </c>
      <c r="X428" s="64" t="s">
        <v>2350</v>
      </c>
      <c r="Y428" s="64">
        <v>2382</v>
      </c>
    </row>
    <row r="429" spans="7:25" ht="26" x14ac:dyDescent="0.35">
      <c r="G429" s="67">
        <v>427</v>
      </c>
      <c r="H429" s="63" t="s">
        <v>2685</v>
      </c>
      <c r="I429" s="64" t="s">
        <v>830</v>
      </c>
      <c r="J429" s="64">
        <v>11203</v>
      </c>
      <c r="L429" s="40">
        <v>427</v>
      </c>
      <c r="M429" s="63" t="s">
        <v>1683</v>
      </c>
      <c r="N429" s="64" t="s">
        <v>1615</v>
      </c>
      <c r="O429" s="64">
        <v>11620</v>
      </c>
      <c r="Q429" s="40">
        <v>427</v>
      </c>
      <c r="R429" s="63" t="s">
        <v>2685</v>
      </c>
      <c r="S429" s="64" t="s">
        <v>1552</v>
      </c>
      <c r="T429" s="64">
        <v>11592</v>
      </c>
      <c r="V429" s="67">
        <v>427</v>
      </c>
      <c r="W429" s="63" t="s">
        <v>56</v>
      </c>
      <c r="X429" s="64" t="s">
        <v>2351</v>
      </c>
      <c r="Y429" s="64">
        <v>10352</v>
      </c>
    </row>
    <row r="430" spans="7:25" ht="26" x14ac:dyDescent="0.35">
      <c r="G430" s="67">
        <v>428</v>
      </c>
      <c r="H430" s="63" t="s">
        <v>2685</v>
      </c>
      <c r="I430" s="64" t="s">
        <v>834</v>
      </c>
      <c r="J430" s="64">
        <v>11205</v>
      </c>
      <c r="L430" s="40">
        <v>428</v>
      </c>
      <c r="M430" s="63" t="s">
        <v>1683</v>
      </c>
      <c r="N430" s="64" t="s">
        <v>1614</v>
      </c>
      <c r="O430" s="64">
        <v>11619</v>
      </c>
      <c r="Q430" s="40">
        <v>428</v>
      </c>
      <c r="R430" s="63" t="s">
        <v>2685</v>
      </c>
      <c r="S430" s="64" t="s">
        <v>2376</v>
      </c>
      <c r="T430" s="64">
        <v>11800</v>
      </c>
      <c r="V430" s="67">
        <v>428</v>
      </c>
      <c r="W430" s="63" t="s">
        <v>56</v>
      </c>
      <c r="X430" s="64" t="s">
        <v>2352</v>
      </c>
      <c r="Y430" s="64">
        <v>2867</v>
      </c>
    </row>
    <row r="431" spans="7:25" ht="26" x14ac:dyDescent="0.35">
      <c r="G431" s="67">
        <v>429</v>
      </c>
      <c r="H431" s="63" t="s">
        <v>2685</v>
      </c>
      <c r="I431" s="64" t="s">
        <v>842</v>
      </c>
      <c r="J431" s="64">
        <v>11223</v>
      </c>
      <c r="L431" s="40">
        <v>429</v>
      </c>
      <c r="M431" s="63" t="s">
        <v>1683</v>
      </c>
      <c r="N431" s="64" t="s">
        <v>1590</v>
      </c>
      <c r="O431" s="64">
        <v>11594</v>
      </c>
      <c r="Q431" s="40">
        <v>429</v>
      </c>
      <c r="R431" s="63" t="s">
        <v>2685</v>
      </c>
      <c r="S431" s="64" t="s">
        <v>2638</v>
      </c>
      <c r="T431" s="64">
        <v>11801</v>
      </c>
      <c r="V431" s="67">
        <v>429</v>
      </c>
      <c r="W431" s="63" t="s">
        <v>56</v>
      </c>
      <c r="X431" s="64" t="s">
        <v>2164</v>
      </c>
      <c r="Y431" s="64">
        <v>2868</v>
      </c>
    </row>
    <row r="432" spans="7:25" ht="26" x14ac:dyDescent="0.35">
      <c r="G432" s="67">
        <v>430</v>
      </c>
      <c r="H432" s="63" t="s">
        <v>2685</v>
      </c>
      <c r="I432" s="64" t="s">
        <v>843</v>
      </c>
      <c r="J432" s="64">
        <v>11224</v>
      </c>
      <c r="L432" s="40">
        <v>430</v>
      </c>
      <c r="M432" s="63" t="s">
        <v>1683</v>
      </c>
      <c r="N432" s="64" t="s">
        <v>1617</v>
      </c>
      <c r="O432" s="64">
        <v>11622</v>
      </c>
      <c r="Q432" s="40">
        <v>430</v>
      </c>
      <c r="R432" s="63" t="s">
        <v>2685</v>
      </c>
      <c r="S432" s="64" t="s">
        <v>2639</v>
      </c>
      <c r="T432" s="64">
        <v>11802</v>
      </c>
      <c r="V432" s="67">
        <v>430</v>
      </c>
      <c r="W432" s="63" t="s">
        <v>56</v>
      </c>
      <c r="X432" s="64" t="s">
        <v>2354</v>
      </c>
      <c r="Y432" s="64">
        <v>10353</v>
      </c>
    </row>
    <row r="433" spans="7:25" ht="26" x14ac:dyDescent="0.35">
      <c r="G433" s="67">
        <v>431</v>
      </c>
      <c r="H433" s="63" t="s">
        <v>2685</v>
      </c>
      <c r="I433" s="64" t="s">
        <v>844</v>
      </c>
      <c r="J433" s="64">
        <v>10907</v>
      </c>
      <c r="L433" s="40">
        <v>431</v>
      </c>
      <c r="M433" s="63" t="s">
        <v>1683</v>
      </c>
      <c r="N433" s="64" t="s">
        <v>1618</v>
      </c>
      <c r="O433" s="64">
        <v>11623</v>
      </c>
      <c r="Q433" s="40">
        <v>431</v>
      </c>
      <c r="R433" s="63" t="s">
        <v>2685</v>
      </c>
      <c r="S433" s="64" t="s">
        <v>2645</v>
      </c>
      <c r="T433" s="64">
        <v>11808</v>
      </c>
      <c r="V433" s="67">
        <v>431</v>
      </c>
      <c r="W433" s="63" t="s">
        <v>56</v>
      </c>
      <c r="X433" s="64" t="s">
        <v>2418</v>
      </c>
      <c r="Y433" s="64">
        <v>10106</v>
      </c>
    </row>
    <row r="434" spans="7:25" ht="26" x14ac:dyDescent="0.35">
      <c r="G434" s="67">
        <v>432</v>
      </c>
      <c r="H434" s="63" t="s">
        <v>2685</v>
      </c>
      <c r="I434" s="64" t="s">
        <v>847</v>
      </c>
      <c r="J434" s="64">
        <v>11206</v>
      </c>
      <c r="L434" s="40">
        <v>432</v>
      </c>
      <c r="M434" s="63" t="s">
        <v>1683</v>
      </c>
      <c r="N434" s="64" t="s">
        <v>1619</v>
      </c>
      <c r="O434" s="64">
        <v>11624</v>
      </c>
      <c r="Q434" s="40">
        <v>432</v>
      </c>
      <c r="R434" s="63" t="s">
        <v>2685</v>
      </c>
      <c r="S434" s="64" t="s">
        <v>2640</v>
      </c>
      <c r="T434" s="64">
        <v>11803</v>
      </c>
      <c r="V434" s="67">
        <v>432</v>
      </c>
      <c r="W434" s="63" t="s">
        <v>56</v>
      </c>
      <c r="X434" s="64" t="s">
        <v>2355</v>
      </c>
      <c r="Y434" s="64">
        <v>10354</v>
      </c>
    </row>
    <row r="435" spans="7:25" ht="26" x14ac:dyDescent="0.35">
      <c r="G435" s="67">
        <v>433</v>
      </c>
      <c r="H435" s="63" t="s">
        <v>2685</v>
      </c>
      <c r="I435" s="64" t="s">
        <v>260</v>
      </c>
      <c r="J435" s="64">
        <v>11322</v>
      </c>
      <c r="L435" s="40">
        <v>433</v>
      </c>
      <c r="M435" s="63" t="s">
        <v>1683</v>
      </c>
      <c r="N435" s="64" t="s">
        <v>1639</v>
      </c>
      <c r="O435" s="64">
        <v>11645</v>
      </c>
      <c r="Q435" s="40">
        <v>433</v>
      </c>
      <c r="R435" s="63" t="s">
        <v>2685</v>
      </c>
      <c r="S435" s="64" t="s">
        <v>209</v>
      </c>
      <c r="T435" s="64">
        <v>11225</v>
      </c>
      <c r="V435" s="67">
        <v>433</v>
      </c>
      <c r="W435" s="63" t="s">
        <v>56</v>
      </c>
      <c r="X435" s="64" t="s">
        <v>2356</v>
      </c>
      <c r="Y435" s="64">
        <v>3394</v>
      </c>
    </row>
    <row r="436" spans="7:25" ht="26" x14ac:dyDescent="0.35">
      <c r="G436" s="67">
        <v>434</v>
      </c>
      <c r="H436" s="63" t="s">
        <v>2685</v>
      </c>
      <c r="I436" s="64" t="s">
        <v>851</v>
      </c>
      <c r="J436" s="64">
        <v>11213</v>
      </c>
      <c r="L436" s="40">
        <v>434</v>
      </c>
      <c r="M436" s="63" t="s">
        <v>1683</v>
      </c>
      <c r="N436" s="64" t="s">
        <v>1654</v>
      </c>
      <c r="O436" s="64">
        <v>11660</v>
      </c>
      <c r="Q436" s="40">
        <v>434</v>
      </c>
      <c r="R436" s="63" t="s">
        <v>2685</v>
      </c>
      <c r="S436" s="64" t="s">
        <v>840</v>
      </c>
      <c r="T436" s="64">
        <v>10906</v>
      </c>
      <c r="V436" s="67">
        <v>434</v>
      </c>
      <c r="W436" s="63" t="s">
        <v>56</v>
      </c>
      <c r="X436" s="64" t="s">
        <v>2165</v>
      </c>
      <c r="Y436" s="64">
        <v>2870</v>
      </c>
    </row>
    <row r="437" spans="7:25" ht="26" x14ac:dyDescent="0.35">
      <c r="G437" s="67">
        <v>435</v>
      </c>
      <c r="H437" s="63" t="s">
        <v>2685</v>
      </c>
      <c r="I437" s="64" t="s">
        <v>853</v>
      </c>
      <c r="J437" s="64">
        <v>10910</v>
      </c>
      <c r="L437" s="40">
        <v>435</v>
      </c>
      <c r="M437" s="63" t="s">
        <v>1683</v>
      </c>
      <c r="N437" s="64" t="s">
        <v>1653</v>
      </c>
      <c r="O437" s="64">
        <v>11659</v>
      </c>
      <c r="Q437" s="40">
        <v>435</v>
      </c>
      <c r="R437" s="63" t="s">
        <v>2685</v>
      </c>
      <c r="S437" s="64" t="s">
        <v>2641</v>
      </c>
      <c r="T437" s="64">
        <v>11804</v>
      </c>
      <c r="V437" s="67">
        <v>435</v>
      </c>
      <c r="W437" s="63" t="s">
        <v>56</v>
      </c>
      <c r="X437" s="64" t="s">
        <v>2166</v>
      </c>
      <c r="Y437" s="64">
        <v>10355</v>
      </c>
    </row>
    <row r="438" spans="7:25" ht="26" x14ac:dyDescent="0.35">
      <c r="G438" s="67">
        <v>436</v>
      </c>
      <c r="H438" s="63" t="s">
        <v>2685</v>
      </c>
      <c r="I438" s="64" t="s">
        <v>855</v>
      </c>
      <c r="J438" s="64">
        <v>11344</v>
      </c>
      <c r="L438" s="40">
        <v>436</v>
      </c>
      <c r="M438" s="63" t="s">
        <v>1683</v>
      </c>
      <c r="N438" s="64" t="s">
        <v>1620</v>
      </c>
      <c r="O438" s="64">
        <v>11625</v>
      </c>
      <c r="Q438" s="40">
        <v>436</v>
      </c>
      <c r="R438" s="63" t="s">
        <v>2685</v>
      </c>
      <c r="S438" s="64" t="s">
        <v>1665</v>
      </c>
      <c r="T438" s="64">
        <v>11671</v>
      </c>
      <c r="V438" s="67">
        <v>436</v>
      </c>
      <c r="W438" s="63" t="s">
        <v>56</v>
      </c>
      <c r="X438" s="64" t="s">
        <v>2357</v>
      </c>
      <c r="Y438" s="64">
        <v>3395</v>
      </c>
    </row>
    <row r="439" spans="7:25" ht="26" x14ac:dyDescent="0.35">
      <c r="G439" s="67">
        <v>437</v>
      </c>
      <c r="H439" s="63" t="s">
        <v>2685</v>
      </c>
      <c r="I439" s="64" t="s">
        <v>857</v>
      </c>
      <c r="J439" s="64">
        <v>11215</v>
      </c>
      <c r="L439" s="40">
        <v>437</v>
      </c>
      <c r="M439" s="63" t="s">
        <v>1683</v>
      </c>
      <c r="N439" s="64" t="s">
        <v>1621</v>
      </c>
      <c r="O439" s="64">
        <v>11626</v>
      </c>
      <c r="Q439" s="40">
        <v>437</v>
      </c>
      <c r="R439" s="63" t="s">
        <v>2685</v>
      </c>
      <c r="S439" s="64" t="s">
        <v>2646</v>
      </c>
      <c r="T439" s="64">
        <v>11809</v>
      </c>
      <c r="V439" s="67">
        <v>437</v>
      </c>
      <c r="W439" s="63" t="s">
        <v>56</v>
      </c>
      <c r="X439" s="64" t="s">
        <v>2167</v>
      </c>
      <c r="Y439" s="64">
        <v>2390</v>
      </c>
    </row>
    <row r="440" spans="7:25" ht="26" x14ac:dyDescent="0.35">
      <c r="G440" s="67">
        <v>438</v>
      </c>
      <c r="H440" s="63" t="s">
        <v>2685</v>
      </c>
      <c r="I440" s="64" t="s">
        <v>859</v>
      </c>
      <c r="J440" s="64">
        <v>11214</v>
      </c>
      <c r="L440" s="40">
        <v>438</v>
      </c>
      <c r="M440" s="63" t="s">
        <v>1683</v>
      </c>
      <c r="N440" s="64" t="s">
        <v>1625</v>
      </c>
      <c r="O440" s="64">
        <v>11631</v>
      </c>
      <c r="Q440" s="40">
        <v>438</v>
      </c>
      <c r="R440" s="63" t="s">
        <v>2685</v>
      </c>
      <c r="S440" s="64" t="s">
        <v>2642</v>
      </c>
      <c r="T440" s="64">
        <v>11805</v>
      </c>
      <c r="V440" s="67">
        <v>438</v>
      </c>
      <c r="W440" s="63" t="s">
        <v>56</v>
      </c>
      <c r="X440" s="64" t="s">
        <v>2358</v>
      </c>
      <c r="Y440" s="64">
        <v>2873</v>
      </c>
    </row>
    <row r="441" spans="7:25" ht="26" x14ac:dyDescent="0.35">
      <c r="G441" s="67">
        <v>439</v>
      </c>
      <c r="H441" s="63" t="s">
        <v>2685</v>
      </c>
      <c r="I441" s="64" t="s">
        <v>1510</v>
      </c>
      <c r="J441" s="64">
        <v>11544</v>
      </c>
      <c r="L441" s="40">
        <v>439</v>
      </c>
      <c r="M441" s="63" t="s">
        <v>1683</v>
      </c>
      <c r="N441" s="64" t="s">
        <v>1608</v>
      </c>
      <c r="O441" s="64">
        <v>11612</v>
      </c>
      <c r="Q441" s="40">
        <v>439</v>
      </c>
      <c r="R441" s="63" t="s">
        <v>2685</v>
      </c>
      <c r="S441" s="64" t="s">
        <v>2643</v>
      </c>
      <c r="T441" s="64">
        <v>11806</v>
      </c>
      <c r="V441" s="67">
        <v>439</v>
      </c>
      <c r="W441" s="63" t="s">
        <v>56</v>
      </c>
      <c r="X441" s="64" t="s">
        <v>2359</v>
      </c>
      <c r="Y441" s="64">
        <v>3398</v>
      </c>
    </row>
    <row r="442" spans="7:25" ht="39" x14ac:dyDescent="0.35">
      <c r="G442" s="67">
        <v>440</v>
      </c>
      <c r="H442" s="63" t="s">
        <v>2685</v>
      </c>
      <c r="I442" s="64" t="s">
        <v>861</v>
      </c>
      <c r="J442" s="64">
        <v>11247</v>
      </c>
      <c r="L442" s="40">
        <v>440</v>
      </c>
      <c r="M442" s="63" t="s">
        <v>1683</v>
      </c>
      <c r="N442" s="64" t="s">
        <v>1610</v>
      </c>
      <c r="O442" s="64">
        <v>11615</v>
      </c>
      <c r="Q442" s="40">
        <v>440</v>
      </c>
      <c r="R442" s="67" t="s">
        <v>2686</v>
      </c>
      <c r="S442" s="64" t="s">
        <v>1343</v>
      </c>
      <c r="T442" s="64">
        <v>11399</v>
      </c>
      <c r="V442" s="67">
        <v>440</v>
      </c>
      <c r="W442" s="63" t="s">
        <v>56</v>
      </c>
      <c r="X442" s="64" t="s">
        <v>2360</v>
      </c>
      <c r="Y442" s="64">
        <v>9964</v>
      </c>
    </row>
    <row r="443" spans="7:25" ht="39" x14ac:dyDescent="0.35">
      <c r="G443" s="67">
        <v>441</v>
      </c>
      <c r="H443" s="63" t="s">
        <v>2685</v>
      </c>
      <c r="I443" s="64" t="s">
        <v>1511</v>
      </c>
      <c r="J443" s="64">
        <v>11545</v>
      </c>
      <c r="L443" s="40">
        <v>441</v>
      </c>
      <c r="M443" s="63" t="s">
        <v>1683</v>
      </c>
      <c r="N443" s="64" t="s">
        <v>1622</v>
      </c>
      <c r="O443" s="64">
        <v>11628</v>
      </c>
      <c r="Q443" s="40">
        <v>441</v>
      </c>
      <c r="R443" s="67" t="s">
        <v>2686</v>
      </c>
      <c r="S443" s="64" t="s">
        <v>1342</v>
      </c>
      <c r="T443" s="64">
        <v>11400</v>
      </c>
      <c r="V443" s="67">
        <v>441</v>
      </c>
      <c r="W443" s="63" t="s">
        <v>56</v>
      </c>
      <c r="X443" s="64" t="s">
        <v>2371</v>
      </c>
      <c r="Y443" s="64">
        <v>2885</v>
      </c>
    </row>
    <row r="444" spans="7:25" ht="39" x14ac:dyDescent="0.35">
      <c r="G444" s="67">
        <v>442</v>
      </c>
      <c r="H444" s="63" t="s">
        <v>2685</v>
      </c>
      <c r="I444" s="64" t="s">
        <v>1512</v>
      </c>
      <c r="J444" s="64">
        <v>11546</v>
      </c>
      <c r="L444" s="40">
        <v>442</v>
      </c>
      <c r="M444" s="63" t="s">
        <v>1683</v>
      </c>
      <c r="N444" s="64" t="s">
        <v>1623</v>
      </c>
      <c r="O444" s="64">
        <v>11629</v>
      </c>
      <c r="Q444" s="40">
        <v>442</v>
      </c>
      <c r="R444" s="67" t="s">
        <v>2686</v>
      </c>
      <c r="S444" s="64" t="s">
        <v>1163</v>
      </c>
      <c r="T444" s="64">
        <v>11334</v>
      </c>
      <c r="V444" s="67">
        <v>442</v>
      </c>
      <c r="W444" s="63" t="s">
        <v>56</v>
      </c>
      <c r="X444" s="64" t="s">
        <v>1181</v>
      </c>
      <c r="Y444" s="64">
        <v>2879</v>
      </c>
    </row>
    <row r="445" spans="7:25" ht="39" x14ac:dyDescent="0.35">
      <c r="G445" s="67">
        <v>443</v>
      </c>
      <c r="H445" s="63" t="s">
        <v>2685</v>
      </c>
      <c r="I445" s="64" t="s">
        <v>1513</v>
      </c>
      <c r="J445" s="64">
        <v>11547</v>
      </c>
      <c r="L445" s="40">
        <v>443</v>
      </c>
      <c r="M445" s="63" t="s">
        <v>1683</v>
      </c>
      <c r="N445" s="64" t="s">
        <v>1624</v>
      </c>
      <c r="O445" s="64">
        <v>11630</v>
      </c>
      <c r="Q445" s="40">
        <v>443</v>
      </c>
      <c r="R445" s="67" t="s">
        <v>2686</v>
      </c>
      <c r="S445" s="64" t="s">
        <v>2767</v>
      </c>
      <c r="T445" s="64">
        <v>11882</v>
      </c>
      <c r="V445" s="67">
        <v>443</v>
      </c>
      <c r="W445" s="63" t="s">
        <v>56</v>
      </c>
      <c r="X445" s="64" t="s">
        <v>2362</v>
      </c>
      <c r="Y445" s="64">
        <v>10404</v>
      </c>
    </row>
    <row r="446" spans="7:25" ht="39" x14ac:dyDescent="0.35">
      <c r="G446" s="67">
        <v>444</v>
      </c>
      <c r="H446" s="63" t="s">
        <v>2685</v>
      </c>
      <c r="I446" s="64" t="s">
        <v>863</v>
      </c>
      <c r="J446" s="64">
        <v>10911</v>
      </c>
      <c r="L446" s="40">
        <v>444</v>
      </c>
      <c r="M446" s="63" t="s">
        <v>1683</v>
      </c>
      <c r="N446" s="64" t="s">
        <v>1632</v>
      </c>
      <c r="O446" s="64">
        <v>11638</v>
      </c>
      <c r="Q446" s="40">
        <v>444</v>
      </c>
      <c r="R446" s="67" t="s">
        <v>2686</v>
      </c>
      <c r="S446" s="64" t="s">
        <v>1165</v>
      </c>
      <c r="T446" s="64">
        <v>1382</v>
      </c>
      <c r="V446" s="67">
        <v>444</v>
      </c>
      <c r="W446" s="63" t="s">
        <v>56</v>
      </c>
      <c r="X446" s="64" t="s">
        <v>2168</v>
      </c>
      <c r="Y446" s="64">
        <v>2880</v>
      </c>
    </row>
    <row r="447" spans="7:25" ht="39" x14ac:dyDescent="0.35">
      <c r="G447" s="67">
        <v>445</v>
      </c>
      <c r="H447" s="63" t="s">
        <v>2685</v>
      </c>
      <c r="I447" s="64" t="s">
        <v>865</v>
      </c>
      <c r="J447" s="64">
        <v>11348</v>
      </c>
      <c r="L447" s="40">
        <v>445</v>
      </c>
      <c r="M447" s="63" t="s">
        <v>1683</v>
      </c>
      <c r="N447" s="64" t="s">
        <v>1626</v>
      </c>
      <c r="O447" s="64">
        <v>11632</v>
      </c>
      <c r="Q447" s="40">
        <v>445</v>
      </c>
      <c r="R447" s="67" t="s">
        <v>2686</v>
      </c>
      <c r="S447" s="64" t="s">
        <v>2765</v>
      </c>
      <c r="T447" s="64">
        <v>11880</v>
      </c>
      <c r="V447" s="67">
        <v>445</v>
      </c>
      <c r="W447" s="63" t="s">
        <v>56</v>
      </c>
      <c r="X447" s="64" t="s">
        <v>2363</v>
      </c>
      <c r="Y447" s="64">
        <v>2881</v>
      </c>
    </row>
    <row r="448" spans="7:25" ht="39" x14ac:dyDescent="0.35">
      <c r="G448" s="67">
        <v>446</v>
      </c>
      <c r="H448" s="63" t="s">
        <v>2685</v>
      </c>
      <c r="I448" s="64" t="s">
        <v>867</v>
      </c>
      <c r="J448" s="64">
        <v>10912</v>
      </c>
      <c r="L448" s="40">
        <v>446</v>
      </c>
      <c r="M448" s="63" t="s">
        <v>1683</v>
      </c>
      <c r="N448" s="64" t="s">
        <v>1627</v>
      </c>
      <c r="O448" s="64">
        <v>11633</v>
      </c>
      <c r="Q448" s="40">
        <v>446</v>
      </c>
      <c r="R448" s="67" t="s">
        <v>2686</v>
      </c>
      <c r="S448" s="64" t="s">
        <v>2770</v>
      </c>
      <c r="T448" s="64">
        <v>11885</v>
      </c>
      <c r="V448" s="67">
        <v>446</v>
      </c>
      <c r="W448" s="63" t="s">
        <v>56</v>
      </c>
      <c r="X448" s="64" t="s">
        <v>2364</v>
      </c>
      <c r="Y448" s="64">
        <v>3399</v>
      </c>
    </row>
    <row r="449" spans="7:25" ht="39" x14ac:dyDescent="0.35">
      <c r="G449" s="67">
        <v>447</v>
      </c>
      <c r="H449" s="67" t="s">
        <v>2686</v>
      </c>
      <c r="I449" s="64" t="s">
        <v>165</v>
      </c>
      <c r="J449" s="64">
        <v>10941</v>
      </c>
      <c r="L449" s="40">
        <v>447</v>
      </c>
      <c r="M449" s="63" t="s">
        <v>1683</v>
      </c>
      <c r="N449" s="64" t="s">
        <v>1630</v>
      </c>
      <c r="O449" s="64">
        <v>11636</v>
      </c>
      <c r="Q449" s="40">
        <v>447</v>
      </c>
      <c r="R449" s="67" t="s">
        <v>2686</v>
      </c>
      <c r="S449" s="64" t="s">
        <v>2762</v>
      </c>
      <c r="T449" s="64">
        <v>11877</v>
      </c>
      <c r="V449" s="67">
        <v>447</v>
      </c>
      <c r="W449" s="63" t="s">
        <v>56</v>
      </c>
      <c r="X449" s="64" t="s">
        <v>2365</v>
      </c>
      <c r="Y449" s="64">
        <v>2882</v>
      </c>
    </row>
    <row r="450" spans="7:25" ht="39" x14ac:dyDescent="0.35">
      <c r="G450" s="67">
        <v>448</v>
      </c>
      <c r="H450" s="67" t="s">
        <v>2686</v>
      </c>
      <c r="I450" s="64" t="s">
        <v>1436</v>
      </c>
      <c r="J450" s="64">
        <v>10942</v>
      </c>
      <c r="L450" s="40">
        <v>448</v>
      </c>
      <c r="M450" s="63" t="s">
        <v>1683</v>
      </c>
      <c r="N450" s="64" t="s">
        <v>1631</v>
      </c>
      <c r="O450" s="64">
        <v>11637</v>
      </c>
      <c r="Q450" s="40">
        <v>448</v>
      </c>
      <c r="R450" s="67" t="s">
        <v>2686</v>
      </c>
      <c r="S450" s="64" t="s">
        <v>2768</v>
      </c>
      <c r="T450" s="64">
        <v>11883</v>
      </c>
      <c r="V450" s="67">
        <v>448</v>
      </c>
      <c r="W450" s="63" t="s">
        <v>56</v>
      </c>
      <c r="X450" s="64" t="s">
        <v>2366</v>
      </c>
      <c r="Y450" s="64">
        <v>8171</v>
      </c>
    </row>
    <row r="451" spans="7:25" ht="39" x14ac:dyDescent="0.35">
      <c r="G451" s="67">
        <v>449</v>
      </c>
      <c r="H451" s="67" t="s">
        <v>2686</v>
      </c>
      <c r="I451" s="64" t="s">
        <v>1437</v>
      </c>
      <c r="J451" s="64">
        <v>10944</v>
      </c>
      <c r="L451" s="40">
        <v>449</v>
      </c>
      <c r="M451" s="63" t="s">
        <v>1683</v>
      </c>
      <c r="N451" s="64" t="s">
        <v>1633</v>
      </c>
      <c r="O451" s="64">
        <v>11639</v>
      </c>
      <c r="Q451" s="40">
        <v>449</v>
      </c>
      <c r="R451" s="67" t="s">
        <v>2686</v>
      </c>
      <c r="S451" s="64" t="s">
        <v>1682</v>
      </c>
      <c r="T451" s="64">
        <v>11688</v>
      </c>
      <c r="V451" s="67">
        <v>449</v>
      </c>
      <c r="W451" s="63" t="s">
        <v>56</v>
      </c>
      <c r="X451" s="64" t="s">
        <v>2367</v>
      </c>
      <c r="Y451" s="64">
        <v>3400</v>
      </c>
    </row>
    <row r="452" spans="7:25" ht="39" x14ac:dyDescent="0.35">
      <c r="G452" s="67">
        <v>450</v>
      </c>
      <c r="H452" s="67" t="s">
        <v>2686</v>
      </c>
      <c r="I452" s="64" t="s">
        <v>1438</v>
      </c>
      <c r="J452" s="64">
        <v>10945</v>
      </c>
      <c r="L452" s="40">
        <v>450</v>
      </c>
      <c r="M452" s="63" t="s">
        <v>1683</v>
      </c>
      <c r="N452" s="64" t="s">
        <v>1634</v>
      </c>
      <c r="O452" s="64">
        <v>11640</v>
      </c>
      <c r="Q452" s="40">
        <v>450</v>
      </c>
      <c r="R452" s="67" t="s">
        <v>2686</v>
      </c>
      <c r="S452" s="64" t="s">
        <v>1677</v>
      </c>
      <c r="T452" s="64">
        <v>11683</v>
      </c>
      <c r="V452" s="67">
        <v>450</v>
      </c>
      <c r="W452" s="63" t="s">
        <v>56</v>
      </c>
      <c r="X452" s="64" t="s">
        <v>2169</v>
      </c>
      <c r="Y452" s="64">
        <v>2884</v>
      </c>
    </row>
    <row r="453" spans="7:25" ht="39" x14ac:dyDescent="0.35">
      <c r="G453" s="67">
        <v>451</v>
      </c>
      <c r="H453" s="67" t="s">
        <v>2686</v>
      </c>
      <c r="I453" s="64" t="s">
        <v>214</v>
      </c>
      <c r="J453" s="64">
        <v>10957</v>
      </c>
      <c r="L453" s="40">
        <v>451</v>
      </c>
      <c r="M453" s="63" t="s">
        <v>1683</v>
      </c>
      <c r="N453" s="64" t="s">
        <v>1635</v>
      </c>
      <c r="O453" s="64">
        <v>11641</v>
      </c>
      <c r="Q453" s="40">
        <v>451</v>
      </c>
      <c r="R453" s="67" t="s">
        <v>2686</v>
      </c>
      <c r="S453" s="64" t="s">
        <v>1166</v>
      </c>
      <c r="T453" s="64">
        <v>11335</v>
      </c>
      <c r="V453" s="67">
        <v>451</v>
      </c>
      <c r="W453" s="63" t="s">
        <v>56</v>
      </c>
      <c r="X453" s="64" t="s">
        <v>2369</v>
      </c>
      <c r="Y453" s="64">
        <v>10292</v>
      </c>
    </row>
    <row r="454" spans="7:25" ht="39" x14ac:dyDescent="0.35">
      <c r="G454" s="67">
        <v>452</v>
      </c>
      <c r="H454" s="67" t="s">
        <v>2686</v>
      </c>
      <c r="I454" s="64" t="s">
        <v>217</v>
      </c>
      <c r="J454" s="64">
        <v>10958</v>
      </c>
      <c r="L454" s="40">
        <v>452</v>
      </c>
      <c r="M454" s="63" t="s">
        <v>1683</v>
      </c>
      <c r="N454" s="64" t="s">
        <v>1636</v>
      </c>
      <c r="O454" s="64">
        <v>11642</v>
      </c>
      <c r="Q454" s="40">
        <v>452</v>
      </c>
      <c r="R454" s="67" t="s">
        <v>2686</v>
      </c>
      <c r="S454" s="64" t="s">
        <v>1681</v>
      </c>
      <c r="T454" s="64">
        <v>11687</v>
      </c>
      <c r="V454" s="67">
        <v>452</v>
      </c>
      <c r="W454" s="63" t="s">
        <v>56</v>
      </c>
      <c r="X454" s="64" t="s">
        <v>2370</v>
      </c>
      <c r="Y454" s="64">
        <v>10358</v>
      </c>
    </row>
    <row r="455" spans="7:25" ht="39" x14ac:dyDescent="0.35">
      <c r="G455" s="67">
        <v>453</v>
      </c>
      <c r="H455" s="67" t="s">
        <v>2686</v>
      </c>
      <c r="I455" s="64" t="s">
        <v>1439</v>
      </c>
      <c r="J455" s="64">
        <v>10961</v>
      </c>
      <c r="L455" s="40">
        <v>453</v>
      </c>
      <c r="M455" s="63" t="s">
        <v>1683</v>
      </c>
      <c r="N455" s="64" t="s">
        <v>1638</v>
      </c>
      <c r="O455" s="64">
        <v>11644</v>
      </c>
      <c r="Q455" s="40">
        <v>453</v>
      </c>
      <c r="R455" s="67" t="s">
        <v>2686</v>
      </c>
      <c r="S455" s="64" t="s">
        <v>1168</v>
      </c>
      <c r="T455" s="64">
        <v>11336</v>
      </c>
      <c r="V455" s="67">
        <v>453</v>
      </c>
      <c r="W455" s="63" t="s">
        <v>56</v>
      </c>
      <c r="X455" s="64" t="s">
        <v>2372</v>
      </c>
      <c r="Y455" s="64">
        <v>3401</v>
      </c>
    </row>
    <row r="456" spans="7:25" ht="39" x14ac:dyDescent="0.35">
      <c r="G456" s="67">
        <v>454</v>
      </c>
      <c r="H456" s="67" t="s">
        <v>2686</v>
      </c>
      <c r="I456" s="64" t="s">
        <v>264</v>
      </c>
      <c r="J456" s="64">
        <v>10975</v>
      </c>
      <c r="L456" s="40">
        <v>454</v>
      </c>
      <c r="M456" s="63" t="s">
        <v>1683</v>
      </c>
      <c r="N456" s="64" t="s">
        <v>1596</v>
      </c>
      <c r="O456" s="64">
        <v>11600</v>
      </c>
      <c r="Q456" s="40">
        <v>454</v>
      </c>
      <c r="R456" s="67" t="s">
        <v>2686</v>
      </c>
      <c r="S456" s="64" t="s">
        <v>1679</v>
      </c>
      <c r="T456" s="64">
        <v>11685</v>
      </c>
      <c r="V456" s="67">
        <v>454</v>
      </c>
      <c r="W456" s="63" t="s">
        <v>56</v>
      </c>
      <c r="X456" s="64" t="s">
        <v>2374</v>
      </c>
      <c r="Y456" s="64">
        <v>10359</v>
      </c>
    </row>
    <row r="457" spans="7:25" ht="39" x14ac:dyDescent="0.35">
      <c r="G457" s="67">
        <v>455</v>
      </c>
      <c r="H457" s="67" t="s">
        <v>2686</v>
      </c>
      <c r="I457" s="64" t="s">
        <v>2758</v>
      </c>
      <c r="J457" s="64">
        <v>11876</v>
      </c>
      <c r="L457" s="40">
        <v>455</v>
      </c>
      <c r="M457" s="63" t="s">
        <v>1683</v>
      </c>
      <c r="N457" s="64" t="s">
        <v>1629</v>
      </c>
      <c r="O457" s="64">
        <v>11635</v>
      </c>
      <c r="Q457" s="40">
        <v>455</v>
      </c>
      <c r="R457" s="67" t="s">
        <v>2686</v>
      </c>
      <c r="S457" s="64" t="s">
        <v>2764</v>
      </c>
      <c r="T457" s="64">
        <v>11879</v>
      </c>
      <c r="V457" s="67">
        <v>455</v>
      </c>
      <c r="W457" s="63" t="s">
        <v>56</v>
      </c>
      <c r="X457" s="64" t="s">
        <v>2373</v>
      </c>
      <c r="Y457" s="64">
        <v>3402</v>
      </c>
    </row>
    <row r="458" spans="7:25" ht="39" x14ac:dyDescent="0.35">
      <c r="G458" s="67">
        <v>456</v>
      </c>
      <c r="H458" s="67" t="s">
        <v>2686</v>
      </c>
      <c r="I458" s="64" t="s">
        <v>1441</v>
      </c>
      <c r="J458" s="64">
        <v>10988</v>
      </c>
      <c r="L458" s="40">
        <v>456</v>
      </c>
      <c r="M458" s="63" t="s">
        <v>1683</v>
      </c>
      <c r="N458" s="64" t="s">
        <v>1616</v>
      </c>
      <c r="O458" s="64">
        <v>11621</v>
      </c>
      <c r="Q458" s="40">
        <v>456</v>
      </c>
      <c r="R458" s="67" t="s">
        <v>2686</v>
      </c>
      <c r="S458" s="64" t="s">
        <v>2769</v>
      </c>
      <c r="T458" s="64">
        <v>11884</v>
      </c>
      <c r="V458" s="67">
        <v>456</v>
      </c>
      <c r="W458" s="63" t="s">
        <v>56</v>
      </c>
      <c r="X458" s="64" t="s">
        <v>2377</v>
      </c>
      <c r="Y458" s="64">
        <v>2889</v>
      </c>
    </row>
    <row r="459" spans="7:25" ht="39" x14ac:dyDescent="0.35">
      <c r="G459" s="67">
        <v>457</v>
      </c>
      <c r="H459" s="67" t="s">
        <v>2686</v>
      </c>
      <c r="I459" s="64" t="s">
        <v>1435</v>
      </c>
      <c r="J459" s="64">
        <v>10989</v>
      </c>
      <c r="L459" s="40">
        <v>457</v>
      </c>
      <c r="M459" s="63" t="s">
        <v>1683</v>
      </c>
      <c r="N459" s="64" t="s">
        <v>1640</v>
      </c>
      <c r="O459" s="64">
        <v>11646</v>
      </c>
      <c r="Q459" s="40">
        <v>457</v>
      </c>
      <c r="R459" s="67" t="s">
        <v>2686</v>
      </c>
      <c r="S459" s="64" t="s">
        <v>1170</v>
      </c>
      <c r="T459" s="64">
        <v>11337</v>
      </c>
      <c r="V459" s="67">
        <v>457</v>
      </c>
      <c r="W459" s="63" t="s">
        <v>56</v>
      </c>
      <c r="X459" s="64" t="s">
        <v>2378</v>
      </c>
      <c r="Y459" s="64">
        <v>2892</v>
      </c>
    </row>
    <row r="460" spans="7:25" ht="39" x14ac:dyDescent="0.35">
      <c r="G460" s="67">
        <v>458</v>
      </c>
      <c r="H460" s="67" t="s">
        <v>2686</v>
      </c>
      <c r="I460" s="64" t="s">
        <v>1443</v>
      </c>
      <c r="J460" s="64">
        <v>10993</v>
      </c>
      <c r="L460" s="40">
        <v>458</v>
      </c>
      <c r="M460" s="63" t="s">
        <v>1683</v>
      </c>
      <c r="N460" s="64" t="s">
        <v>1591</v>
      </c>
      <c r="O460" s="64">
        <v>11595</v>
      </c>
      <c r="Q460" s="40">
        <v>458</v>
      </c>
      <c r="R460" s="67" t="s">
        <v>2686</v>
      </c>
      <c r="S460" s="64" t="s">
        <v>2763</v>
      </c>
      <c r="T460" s="64">
        <v>11878</v>
      </c>
      <c r="V460" s="67">
        <v>458</v>
      </c>
      <c r="W460" s="63" t="s">
        <v>56</v>
      </c>
      <c r="X460" s="64" t="s">
        <v>2381</v>
      </c>
      <c r="Y460" s="64">
        <v>8253</v>
      </c>
    </row>
    <row r="461" spans="7:25" ht="39" x14ac:dyDescent="0.35">
      <c r="G461" s="67">
        <v>459</v>
      </c>
      <c r="H461" s="67" t="s">
        <v>2686</v>
      </c>
      <c r="I461" s="64" t="s">
        <v>1444</v>
      </c>
      <c r="J461" s="64">
        <v>10997</v>
      </c>
      <c r="L461" s="40">
        <v>459</v>
      </c>
      <c r="M461" s="63" t="s">
        <v>1683</v>
      </c>
      <c r="N461" s="64" t="s">
        <v>1604</v>
      </c>
      <c r="O461" s="64">
        <v>11608</v>
      </c>
      <c r="Q461" s="40">
        <v>459</v>
      </c>
      <c r="R461" s="67" t="s">
        <v>2689</v>
      </c>
      <c r="S461" s="64" t="s">
        <v>219</v>
      </c>
      <c r="T461" s="64">
        <v>11404</v>
      </c>
      <c r="V461" s="67">
        <v>459</v>
      </c>
      <c r="W461" s="63" t="s">
        <v>56</v>
      </c>
      <c r="X461" s="64" t="s">
        <v>2382</v>
      </c>
      <c r="Y461" s="64">
        <v>3405</v>
      </c>
    </row>
    <row r="462" spans="7:25" ht="39" x14ac:dyDescent="0.35">
      <c r="G462" s="67">
        <v>460</v>
      </c>
      <c r="H462" s="67" t="s">
        <v>2686</v>
      </c>
      <c r="I462" s="64" t="s">
        <v>1434</v>
      </c>
      <c r="J462" s="64">
        <v>10998</v>
      </c>
      <c r="L462" s="40">
        <v>460</v>
      </c>
      <c r="M462" s="63" t="s">
        <v>1683</v>
      </c>
      <c r="N462" s="64" t="s">
        <v>1641</v>
      </c>
      <c r="O462" s="64">
        <v>11647</v>
      </c>
      <c r="Q462" s="40">
        <v>460</v>
      </c>
      <c r="R462" s="67" t="s">
        <v>2689</v>
      </c>
      <c r="S462" s="64" t="s">
        <v>1362</v>
      </c>
      <c r="T462" s="64">
        <v>11405</v>
      </c>
      <c r="V462" s="67">
        <v>460</v>
      </c>
      <c r="W462" s="63" t="s">
        <v>56</v>
      </c>
      <c r="X462" s="64" t="s">
        <v>2383</v>
      </c>
      <c r="Y462" s="64">
        <v>2895</v>
      </c>
    </row>
    <row r="463" spans="7:25" ht="39" x14ac:dyDescent="0.35">
      <c r="G463" s="67">
        <v>461</v>
      </c>
      <c r="H463" s="67" t="s">
        <v>2686</v>
      </c>
      <c r="I463" s="64" t="s">
        <v>1445</v>
      </c>
      <c r="J463" s="64">
        <v>10999</v>
      </c>
      <c r="L463" s="40">
        <v>461</v>
      </c>
      <c r="M463" s="63" t="s">
        <v>1683</v>
      </c>
      <c r="N463" s="64" t="s">
        <v>1642</v>
      </c>
      <c r="O463" s="64">
        <v>11648</v>
      </c>
      <c r="Q463" s="40">
        <v>461</v>
      </c>
      <c r="R463" s="67" t="s">
        <v>2689</v>
      </c>
      <c r="S463" s="64" t="s">
        <v>227</v>
      </c>
      <c r="T463" s="64">
        <v>8115</v>
      </c>
      <c r="V463" s="67">
        <v>461</v>
      </c>
      <c r="W463" s="63" t="s">
        <v>56</v>
      </c>
      <c r="X463" s="64" t="s">
        <v>2170</v>
      </c>
      <c r="Y463" s="64">
        <v>10173</v>
      </c>
    </row>
    <row r="464" spans="7:25" ht="39" x14ac:dyDescent="0.35">
      <c r="G464" s="67">
        <v>462</v>
      </c>
      <c r="H464" s="67" t="s">
        <v>2686</v>
      </c>
      <c r="I464" s="64" t="s">
        <v>1446</v>
      </c>
      <c r="J464" s="64">
        <v>11000</v>
      </c>
      <c r="L464" s="40">
        <v>462</v>
      </c>
      <c r="M464" s="63" t="s">
        <v>1683</v>
      </c>
      <c r="N464" s="64" t="s">
        <v>1643</v>
      </c>
      <c r="O464" s="64">
        <v>11649</v>
      </c>
      <c r="Q464" s="40">
        <v>462</v>
      </c>
      <c r="R464" s="67" t="s">
        <v>2689</v>
      </c>
      <c r="S464" t="s">
        <v>1363</v>
      </c>
      <c r="T464" s="64">
        <v>11406</v>
      </c>
      <c r="V464" s="67">
        <v>462</v>
      </c>
      <c r="W464" s="63" t="s">
        <v>56</v>
      </c>
      <c r="X464" s="64" t="s">
        <v>2384</v>
      </c>
      <c r="Y464" s="64">
        <v>10130</v>
      </c>
    </row>
    <row r="465" spans="7:25" ht="39" x14ac:dyDescent="0.35">
      <c r="G465" s="67">
        <v>463</v>
      </c>
      <c r="H465" s="67" t="s">
        <v>2686</v>
      </c>
      <c r="I465" s="64" t="s">
        <v>1447</v>
      </c>
      <c r="J465" s="64">
        <v>11001</v>
      </c>
      <c r="L465" s="40">
        <v>463</v>
      </c>
      <c r="M465" s="63" t="s">
        <v>1683</v>
      </c>
      <c r="N465" s="64" t="s">
        <v>1644</v>
      </c>
      <c r="O465" s="64">
        <v>11650</v>
      </c>
      <c r="Q465" s="40">
        <v>463</v>
      </c>
      <c r="R465" s="67" t="s">
        <v>2689</v>
      </c>
      <c r="S465" s="64" t="s">
        <v>356</v>
      </c>
      <c r="T465" s="64">
        <v>11407</v>
      </c>
      <c r="V465" s="67">
        <v>463</v>
      </c>
      <c r="W465" s="63" t="s">
        <v>56</v>
      </c>
      <c r="X465" s="64" t="s">
        <v>2385</v>
      </c>
      <c r="Y465" s="64">
        <v>2406</v>
      </c>
    </row>
    <row r="466" spans="7:25" ht="39" x14ac:dyDescent="0.35">
      <c r="G466" s="67">
        <v>464</v>
      </c>
      <c r="H466" s="67" t="s">
        <v>2686</v>
      </c>
      <c r="I466" s="64" t="s">
        <v>384</v>
      </c>
      <c r="J466" s="64">
        <v>11019</v>
      </c>
      <c r="L466" s="40">
        <v>464</v>
      </c>
      <c r="M466" s="63" t="s">
        <v>1683</v>
      </c>
      <c r="N466" s="64" t="s">
        <v>1645</v>
      </c>
      <c r="O466" s="64">
        <v>11651</v>
      </c>
      <c r="Q466" s="40">
        <v>464</v>
      </c>
      <c r="R466" s="67" t="s">
        <v>2689</v>
      </c>
      <c r="S466" s="64" t="s">
        <v>659</v>
      </c>
      <c r="T466" s="64">
        <v>11408</v>
      </c>
      <c r="V466" s="67">
        <v>464</v>
      </c>
      <c r="W466" s="63" t="s">
        <v>56</v>
      </c>
      <c r="X466" s="64" t="s">
        <v>2386</v>
      </c>
      <c r="Y466" s="64">
        <v>2407</v>
      </c>
    </row>
    <row r="467" spans="7:25" ht="39" x14ac:dyDescent="0.35">
      <c r="G467" s="67">
        <v>465</v>
      </c>
      <c r="H467" s="67" t="s">
        <v>2686</v>
      </c>
      <c r="I467" s="64" t="s">
        <v>953</v>
      </c>
      <c r="J467" s="64">
        <v>10761</v>
      </c>
      <c r="L467" s="40">
        <v>465</v>
      </c>
      <c r="M467" s="63" t="s">
        <v>1683</v>
      </c>
      <c r="N467" s="64" t="s">
        <v>1646</v>
      </c>
      <c r="O467" s="64">
        <v>11652</v>
      </c>
      <c r="Q467" s="40">
        <v>465</v>
      </c>
      <c r="R467" s="67" t="s">
        <v>2689</v>
      </c>
      <c r="S467" s="64" t="s">
        <v>681</v>
      </c>
      <c r="T467" s="64">
        <v>11409</v>
      </c>
      <c r="V467" s="67">
        <v>465</v>
      </c>
      <c r="W467" s="63" t="s">
        <v>56</v>
      </c>
      <c r="X467" s="64" t="s">
        <v>2171</v>
      </c>
      <c r="Y467" s="64">
        <v>2897</v>
      </c>
    </row>
    <row r="468" spans="7:25" ht="39" x14ac:dyDescent="0.35">
      <c r="G468" s="67">
        <v>466</v>
      </c>
      <c r="H468" s="67" t="s">
        <v>2686</v>
      </c>
      <c r="I468" s="64" t="s">
        <v>402</v>
      </c>
      <c r="J468" s="64">
        <v>11026</v>
      </c>
      <c r="L468" s="40">
        <v>466</v>
      </c>
      <c r="M468" s="63" t="s">
        <v>1683</v>
      </c>
      <c r="N468" s="64" t="s">
        <v>1647</v>
      </c>
      <c r="O468" s="64">
        <v>11653</v>
      </c>
      <c r="Q468" s="40">
        <v>466</v>
      </c>
      <c r="R468" s="67" t="s">
        <v>2689</v>
      </c>
      <c r="S468" s="64" t="s">
        <v>392</v>
      </c>
      <c r="T468" s="64">
        <v>11410</v>
      </c>
      <c r="V468" s="67">
        <v>466</v>
      </c>
      <c r="W468" s="63" t="s">
        <v>56</v>
      </c>
      <c r="X468" s="64" t="s">
        <v>2380</v>
      </c>
      <c r="Y468" s="64">
        <v>2894</v>
      </c>
    </row>
    <row r="469" spans="7:25" ht="39" x14ac:dyDescent="0.35">
      <c r="G469" s="67">
        <v>467</v>
      </c>
      <c r="H469" s="67" t="s">
        <v>2686</v>
      </c>
      <c r="I469" s="64" t="s">
        <v>1449</v>
      </c>
      <c r="J469" s="64">
        <v>11031</v>
      </c>
      <c r="L469" s="40">
        <v>467</v>
      </c>
      <c r="M469" s="63" t="s">
        <v>1683</v>
      </c>
      <c r="N469" s="64" t="s">
        <v>1648</v>
      </c>
      <c r="O469" s="64">
        <v>11654</v>
      </c>
      <c r="Q469" s="40">
        <v>467</v>
      </c>
      <c r="R469" s="67" t="s">
        <v>2689</v>
      </c>
      <c r="S469" s="64" t="s">
        <v>1367</v>
      </c>
      <c r="T469" s="64">
        <v>11411</v>
      </c>
      <c r="V469" s="67">
        <v>467</v>
      </c>
      <c r="W469" s="63" t="s">
        <v>56</v>
      </c>
      <c r="X469" s="64" t="s">
        <v>2387</v>
      </c>
      <c r="Y469" s="64">
        <v>8301</v>
      </c>
    </row>
    <row r="470" spans="7:25" ht="39" x14ac:dyDescent="0.35">
      <c r="G470" s="67">
        <v>468</v>
      </c>
      <c r="H470" s="67" t="s">
        <v>2686</v>
      </c>
      <c r="I470" s="64" t="s">
        <v>418</v>
      </c>
      <c r="J470" s="64">
        <v>11033</v>
      </c>
      <c r="L470" s="40">
        <v>468</v>
      </c>
      <c r="M470" s="63" t="s">
        <v>1683</v>
      </c>
      <c r="N470" s="64" t="s">
        <v>1649</v>
      </c>
      <c r="O470" s="64">
        <v>11655</v>
      </c>
      <c r="Q470" s="40">
        <v>468</v>
      </c>
      <c r="R470" s="67" t="s">
        <v>2689</v>
      </c>
      <c r="S470" s="64" t="s">
        <v>815</v>
      </c>
      <c r="T470" s="64">
        <v>11412</v>
      </c>
      <c r="V470" s="67">
        <v>468</v>
      </c>
      <c r="W470" s="63" t="s">
        <v>56</v>
      </c>
      <c r="X470" s="64" t="s">
        <v>2389</v>
      </c>
      <c r="Y470" s="64">
        <v>3407</v>
      </c>
    </row>
    <row r="471" spans="7:25" ht="39" x14ac:dyDescent="0.35">
      <c r="G471" s="67">
        <v>469</v>
      </c>
      <c r="H471" s="67" t="s">
        <v>2686</v>
      </c>
      <c r="I471" s="64" t="s">
        <v>421</v>
      </c>
      <c r="J471" s="64">
        <v>11034</v>
      </c>
      <c r="L471" s="40">
        <v>469</v>
      </c>
      <c r="M471" s="63" t="s">
        <v>1683</v>
      </c>
      <c r="N471" s="64" t="s">
        <v>1650</v>
      </c>
      <c r="O471" s="64">
        <v>11656</v>
      </c>
      <c r="Q471" s="40">
        <v>469</v>
      </c>
      <c r="R471" s="67" t="s">
        <v>2689</v>
      </c>
      <c r="S471" s="64" t="s">
        <v>1364</v>
      </c>
      <c r="T471" s="64">
        <v>11413</v>
      </c>
      <c r="V471" s="67">
        <v>469</v>
      </c>
      <c r="W471" s="63" t="s">
        <v>56</v>
      </c>
      <c r="X471" s="64" t="s">
        <v>2388</v>
      </c>
      <c r="Y471" s="64">
        <v>10614</v>
      </c>
    </row>
    <row r="472" spans="7:25" ht="39" x14ac:dyDescent="0.35">
      <c r="G472" s="67">
        <v>470</v>
      </c>
      <c r="H472" s="67" t="s">
        <v>2686</v>
      </c>
      <c r="I472" s="64" t="s">
        <v>423</v>
      </c>
      <c r="J472" s="64">
        <v>11035</v>
      </c>
      <c r="L472" s="40">
        <v>470</v>
      </c>
      <c r="M472" s="63" t="s">
        <v>1683</v>
      </c>
      <c r="N472" s="64" t="s">
        <v>1595</v>
      </c>
      <c r="O472" s="64">
        <v>11599</v>
      </c>
      <c r="Q472" s="40">
        <v>470</v>
      </c>
      <c r="R472" s="67" t="s">
        <v>2689</v>
      </c>
      <c r="S472" s="64" t="s">
        <v>575</v>
      </c>
      <c r="T472" s="64">
        <v>8155</v>
      </c>
      <c r="V472" s="67">
        <v>470</v>
      </c>
      <c r="W472" s="63" t="s">
        <v>56</v>
      </c>
      <c r="X472" s="64" t="s">
        <v>2379</v>
      </c>
      <c r="Y472" s="64">
        <v>2893</v>
      </c>
    </row>
    <row r="473" spans="7:25" ht="39" x14ac:dyDescent="0.35">
      <c r="G473" s="67">
        <v>471</v>
      </c>
      <c r="H473" s="67" t="s">
        <v>2686</v>
      </c>
      <c r="I473" s="64" t="s">
        <v>426</v>
      </c>
      <c r="J473" s="64">
        <v>11036</v>
      </c>
      <c r="L473" s="40">
        <v>471</v>
      </c>
      <c r="M473" s="63" t="s">
        <v>1683</v>
      </c>
      <c r="N473" s="64" t="s">
        <v>1651</v>
      </c>
      <c r="O473" s="64">
        <v>11657</v>
      </c>
      <c r="Q473" s="40">
        <v>471</v>
      </c>
      <c r="R473" s="67" t="s">
        <v>2689</v>
      </c>
      <c r="S473" s="64" t="s">
        <v>1368</v>
      </c>
      <c r="T473" s="64">
        <v>11414</v>
      </c>
      <c r="V473" s="67">
        <v>471</v>
      </c>
      <c r="W473" s="63" t="s">
        <v>56</v>
      </c>
      <c r="X473" s="64" t="s">
        <v>2390</v>
      </c>
      <c r="Y473" s="64">
        <v>2899</v>
      </c>
    </row>
    <row r="474" spans="7:25" ht="39" x14ac:dyDescent="0.35">
      <c r="G474" s="67">
        <v>472</v>
      </c>
      <c r="H474" s="67" t="s">
        <v>2686</v>
      </c>
      <c r="I474" s="64" t="s">
        <v>1450</v>
      </c>
      <c r="J474" s="64">
        <v>11038</v>
      </c>
      <c r="L474" s="40">
        <v>472</v>
      </c>
      <c r="M474" s="63" t="s">
        <v>1683</v>
      </c>
      <c r="N474" s="64" t="s">
        <v>1652</v>
      </c>
      <c r="O474" s="64">
        <v>11658</v>
      </c>
      <c r="Q474" s="40">
        <v>472</v>
      </c>
      <c r="R474" s="67" t="s">
        <v>2689</v>
      </c>
      <c r="S474" s="64" t="s">
        <v>1369</v>
      </c>
      <c r="T474" s="64">
        <v>11415</v>
      </c>
      <c r="V474" s="67">
        <v>472</v>
      </c>
      <c r="W474" s="63" t="s">
        <v>56</v>
      </c>
      <c r="X474" s="64" t="s">
        <v>2391</v>
      </c>
      <c r="Y474" s="64">
        <v>3408</v>
      </c>
    </row>
    <row r="475" spans="7:25" ht="39" x14ac:dyDescent="0.35">
      <c r="G475" s="67">
        <v>473</v>
      </c>
      <c r="H475" s="67" t="s">
        <v>2686</v>
      </c>
      <c r="I475" s="64" t="s">
        <v>433</v>
      </c>
      <c r="J475" s="64">
        <v>11039</v>
      </c>
      <c r="L475" s="40">
        <v>473</v>
      </c>
      <c r="M475" s="63" t="s">
        <v>1683</v>
      </c>
      <c r="N475" s="64" t="s">
        <v>1628</v>
      </c>
      <c r="O475" s="64">
        <v>11634</v>
      </c>
      <c r="Q475" s="40">
        <v>473</v>
      </c>
      <c r="R475" s="67" t="s">
        <v>2689</v>
      </c>
      <c r="S475" s="64" t="s">
        <v>1370</v>
      </c>
      <c r="T475" s="64">
        <v>11416</v>
      </c>
      <c r="V475" s="67">
        <v>473</v>
      </c>
      <c r="W475" s="63" t="s">
        <v>56</v>
      </c>
      <c r="X475" s="64" t="s">
        <v>2392</v>
      </c>
      <c r="Y475" s="64">
        <v>8341</v>
      </c>
    </row>
    <row r="476" spans="7:25" ht="39" x14ac:dyDescent="0.35">
      <c r="G476" s="67">
        <v>474</v>
      </c>
      <c r="H476" s="67" t="s">
        <v>2686</v>
      </c>
      <c r="I476" s="64" t="s">
        <v>1680</v>
      </c>
      <c r="J476" s="64">
        <v>11875</v>
      </c>
      <c r="L476" s="40">
        <v>474</v>
      </c>
      <c r="M476" s="63" t="s">
        <v>2690</v>
      </c>
      <c r="N476" s="64" t="s">
        <v>2594</v>
      </c>
      <c r="O476" s="64">
        <v>11778</v>
      </c>
      <c r="Q476" s="40">
        <v>474</v>
      </c>
      <c r="R476" s="67" t="s">
        <v>2689</v>
      </c>
      <c r="S476" s="64" t="s">
        <v>1371</v>
      </c>
      <c r="T476" s="64">
        <v>11417</v>
      </c>
      <c r="V476" s="67">
        <v>474</v>
      </c>
      <c r="W476" s="63" t="s">
        <v>56</v>
      </c>
      <c r="X476" s="64" t="s">
        <v>2394</v>
      </c>
      <c r="Y476" s="64">
        <v>2902</v>
      </c>
    </row>
    <row r="477" spans="7:25" ht="39" x14ac:dyDescent="0.35">
      <c r="G477" s="67">
        <v>475</v>
      </c>
      <c r="H477" s="67" t="s">
        <v>2686</v>
      </c>
      <c r="I477" s="64" t="s">
        <v>1451</v>
      </c>
      <c r="J477" s="64">
        <v>11050</v>
      </c>
      <c r="L477" s="40">
        <v>475</v>
      </c>
      <c r="M477" s="63" t="s">
        <v>2690</v>
      </c>
      <c r="N477" s="64" t="s">
        <v>2584</v>
      </c>
      <c r="O477" s="64">
        <v>11767</v>
      </c>
      <c r="Q477" s="40">
        <v>475</v>
      </c>
      <c r="R477" s="67" t="s">
        <v>2689</v>
      </c>
      <c r="S477" s="64" t="s">
        <v>1365</v>
      </c>
      <c r="T477" s="64">
        <v>11418</v>
      </c>
      <c r="V477" s="67">
        <v>475</v>
      </c>
      <c r="W477" s="63" t="s">
        <v>56</v>
      </c>
      <c r="X477" s="64" t="s">
        <v>2396</v>
      </c>
      <c r="Y477" s="64">
        <v>2904</v>
      </c>
    </row>
    <row r="478" spans="7:25" ht="39" x14ac:dyDescent="0.35">
      <c r="G478" s="67">
        <v>476</v>
      </c>
      <c r="H478" s="67" t="s">
        <v>2686</v>
      </c>
      <c r="I478" s="64" t="s">
        <v>1452</v>
      </c>
      <c r="J478" s="64">
        <v>11051</v>
      </c>
      <c r="L478" s="40">
        <v>476</v>
      </c>
      <c r="M478" s="63" t="s">
        <v>2690</v>
      </c>
      <c r="N478" s="64" t="s">
        <v>67</v>
      </c>
      <c r="O478" s="64">
        <v>11178</v>
      </c>
      <c r="Q478" s="40">
        <v>476</v>
      </c>
      <c r="R478" s="67" t="s">
        <v>2689</v>
      </c>
      <c r="S478" s="64" t="s">
        <v>2895</v>
      </c>
      <c r="T478" s="64">
        <v>3048</v>
      </c>
      <c r="V478" s="67">
        <v>476</v>
      </c>
      <c r="W478" s="63" t="s">
        <v>56</v>
      </c>
      <c r="X478" s="64" t="s">
        <v>2397</v>
      </c>
      <c r="Y478" s="64">
        <v>10360</v>
      </c>
    </row>
    <row r="479" spans="7:25" ht="39" x14ac:dyDescent="0.35">
      <c r="G479" s="67">
        <v>477</v>
      </c>
      <c r="H479" s="67" t="s">
        <v>2686</v>
      </c>
      <c r="I479" s="64" t="s">
        <v>472</v>
      </c>
      <c r="J479" s="64">
        <v>11055</v>
      </c>
      <c r="L479" s="40">
        <v>477</v>
      </c>
      <c r="M479" s="63" t="s">
        <v>2690</v>
      </c>
      <c r="N479" s="64" t="s">
        <v>2598</v>
      </c>
      <c r="O479" s="64">
        <v>11782</v>
      </c>
      <c r="Q479" s="40">
        <v>477</v>
      </c>
      <c r="R479" s="67" t="s">
        <v>2689</v>
      </c>
      <c r="S479" s="64" t="s">
        <v>963</v>
      </c>
      <c r="T479" s="64">
        <v>8120</v>
      </c>
      <c r="V479" s="67">
        <v>477</v>
      </c>
      <c r="W479" s="63" t="s">
        <v>56</v>
      </c>
      <c r="X479" s="64" t="s">
        <v>2398</v>
      </c>
      <c r="Y479" s="64">
        <v>2414</v>
      </c>
    </row>
    <row r="480" spans="7:25" ht="39" x14ac:dyDescent="0.35">
      <c r="G480" s="67">
        <v>478</v>
      </c>
      <c r="H480" s="67" t="s">
        <v>2686</v>
      </c>
      <c r="I480" s="64" t="s">
        <v>474</v>
      </c>
      <c r="J480" s="64">
        <v>11056</v>
      </c>
      <c r="L480" s="40">
        <v>478</v>
      </c>
      <c r="M480" s="63" t="s">
        <v>2690</v>
      </c>
      <c r="N480" s="64" t="s">
        <v>2581</v>
      </c>
      <c r="O480" s="64">
        <v>11764</v>
      </c>
      <c r="Q480" s="40">
        <v>478</v>
      </c>
      <c r="R480" s="67" t="s">
        <v>2689</v>
      </c>
      <c r="S480" s="64" t="s">
        <v>1372</v>
      </c>
      <c r="T480" s="64">
        <v>11419</v>
      </c>
      <c r="V480" s="67">
        <v>478</v>
      </c>
      <c r="W480" s="63" t="s">
        <v>56</v>
      </c>
      <c r="X480" s="64" t="s">
        <v>2172</v>
      </c>
      <c r="Y480" s="64">
        <v>2907</v>
      </c>
    </row>
    <row r="481" spans="7:25" ht="39" x14ac:dyDescent="0.35">
      <c r="G481" s="67">
        <v>479</v>
      </c>
      <c r="H481" s="67" t="s">
        <v>2686</v>
      </c>
      <c r="I481" s="64" t="s">
        <v>1455</v>
      </c>
      <c r="J481" s="64">
        <v>11068</v>
      </c>
      <c r="L481" s="40">
        <v>479</v>
      </c>
      <c r="M481" s="63" t="s">
        <v>2690</v>
      </c>
      <c r="N481" s="64" t="s">
        <v>2597</v>
      </c>
      <c r="O481" s="64">
        <v>11781</v>
      </c>
      <c r="Q481" s="40">
        <v>479</v>
      </c>
      <c r="R481" s="67" t="s">
        <v>2689</v>
      </c>
      <c r="S481" s="64" t="s">
        <v>1017</v>
      </c>
      <c r="T481" s="64">
        <v>2445</v>
      </c>
      <c r="V481" s="67">
        <v>479</v>
      </c>
      <c r="W481" s="63" t="s">
        <v>56</v>
      </c>
      <c r="X481" s="64" t="s">
        <v>2399</v>
      </c>
      <c r="Y481" s="64">
        <v>2909</v>
      </c>
    </row>
    <row r="482" spans="7:25" ht="26" x14ac:dyDescent="0.35">
      <c r="G482" s="67">
        <v>480</v>
      </c>
      <c r="H482" s="63" t="s">
        <v>2687</v>
      </c>
      <c r="I482" s="64" t="s">
        <v>1164</v>
      </c>
      <c r="J482" s="64">
        <v>11366</v>
      </c>
      <c r="L482" s="40">
        <v>480</v>
      </c>
      <c r="M482" s="63" t="s">
        <v>2690</v>
      </c>
      <c r="N482" s="64" t="s">
        <v>2588</v>
      </c>
      <c r="O482" s="64">
        <v>11772</v>
      </c>
      <c r="Q482" s="40">
        <v>480</v>
      </c>
      <c r="R482" s="67" t="s">
        <v>2689</v>
      </c>
      <c r="S482" s="64" t="s">
        <v>1366</v>
      </c>
      <c r="T482" s="64">
        <v>11420</v>
      </c>
      <c r="V482" s="67">
        <v>480</v>
      </c>
      <c r="W482" s="63" t="s">
        <v>56</v>
      </c>
      <c r="X482" s="64" t="s">
        <v>2400</v>
      </c>
      <c r="Y482" s="64">
        <v>2908</v>
      </c>
    </row>
    <row r="483" spans="7:25" ht="26" x14ac:dyDescent="0.35">
      <c r="G483" s="67">
        <v>481</v>
      </c>
      <c r="H483" s="63" t="s">
        <v>2687</v>
      </c>
      <c r="I483" s="64" t="s">
        <v>285</v>
      </c>
      <c r="J483" s="64">
        <v>11367</v>
      </c>
      <c r="L483" s="40">
        <v>481</v>
      </c>
      <c r="M483" s="63" t="s">
        <v>2690</v>
      </c>
      <c r="N483" s="64" t="s">
        <v>2579</v>
      </c>
      <c r="O483" s="64">
        <v>11762</v>
      </c>
      <c r="Q483" s="40">
        <v>481</v>
      </c>
      <c r="R483" s="63" t="s">
        <v>2690</v>
      </c>
      <c r="S483" s="64" t="s">
        <v>1171</v>
      </c>
      <c r="T483" s="64">
        <v>10013</v>
      </c>
      <c r="V483" s="67">
        <v>481</v>
      </c>
      <c r="W483" s="63" t="s">
        <v>56</v>
      </c>
      <c r="X483" s="64" t="s">
        <v>2401</v>
      </c>
      <c r="Y483" s="64">
        <v>8220</v>
      </c>
    </row>
    <row r="484" spans="7:25" ht="26" x14ac:dyDescent="0.35">
      <c r="G484" s="67">
        <v>482</v>
      </c>
      <c r="H484" s="63" t="s">
        <v>2687</v>
      </c>
      <c r="I484" s="64" t="s">
        <v>1167</v>
      </c>
      <c r="J484" s="64">
        <v>11368</v>
      </c>
      <c r="L484" s="40">
        <v>482</v>
      </c>
      <c r="M484" s="63" t="s">
        <v>2690</v>
      </c>
      <c r="N484" s="64" t="s">
        <v>2596</v>
      </c>
      <c r="O484" s="64">
        <v>11780</v>
      </c>
      <c r="Q484" s="40">
        <v>482</v>
      </c>
      <c r="R484" s="67" t="s">
        <v>2803</v>
      </c>
      <c r="S484" s="64" t="s">
        <v>2817</v>
      </c>
      <c r="T484" s="64">
        <v>11916</v>
      </c>
      <c r="V484" s="67">
        <v>482</v>
      </c>
      <c r="W484" s="63" t="s">
        <v>56</v>
      </c>
      <c r="X484" s="64" t="s">
        <v>2402</v>
      </c>
      <c r="Y484" s="64">
        <v>2910</v>
      </c>
    </row>
    <row r="485" spans="7:25" ht="26" x14ac:dyDescent="0.35">
      <c r="G485" s="67">
        <v>483</v>
      </c>
      <c r="H485" s="63" t="s">
        <v>2687</v>
      </c>
      <c r="I485" s="64" t="s">
        <v>1329</v>
      </c>
      <c r="J485" s="64">
        <v>11372</v>
      </c>
      <c r="L485" s="40">
        <v>483</v>
      </c>
      <c r="M485" s="63" t="s">
        <v>2690</v>
      </c>
      <c r="N485" s="64" t="s">
        <v>2580</v>
      </c>
      <c r="O485" s="64">
        <v>11763</v>
      </c>
      <c r="Q485" s="40">
        <v>483</v>
      </c>
      <c r="R485" s="67" t="s">
        <v>2803</v>
      </c>
      <c r="S485" s="64" t="s">
        <v>2837</v>
      </c>
      <c r="T485" s="64">
        <v>11936</v>
      </c>
      <c r="V485" s="67">
        <v>483</v>
      </c>
      <c r="W485" s="63" t="s">
        <v>56</v>
      </c>
      <c r="X485" s="64" t="s">
        <v>2173</v>
      </c>
      <c r="Y485" s="64">
        <v>2911</v>
      </c>
    </row>
    <row r="486" spans="7:25" ht="39" x14ac:dyDescent="0.35">
      <c r="G486" s="67">
        <v>484</v>
      </c>
      <c r="H486" s="63" t="s">
        <v>2687</v>
      </c>
      <c r="I486" s="64" t="s">
        <v>1328</v>
      </c>
      <c r="J486" s="64">
        <v>11371</v>
      </c>
      <c r="L486" s="40">
        <v>484</v>
      </c>
      <c r="M486" s="63" t="s">
        <v>2690</v>
      </c>
      <c r="N486" s="64" t="s">
        <v>2600</v>
      </c>
      <c r="O486" s="64">
        <v>11784</v>
      </c>
      <c r="Q486" s="40">
        <v>484</v>
      </c>
      <c r="R486" s="67" t="s">
        <v>2803</v>
      </c>
      <c r="S486" s="64" t="s">
        <v>2807</v>
      </c>
      <c r="T486" s="64">
        <v>11906</v>
      </c>
      <c r="V486" s="67">
        <v>484</v>
      </c>
      <c r="W486" s="63" t="s">
        <v>56</v>
      </c>
      <c r="X486" s="64" t="s">
        <v>2403</v>
      </c>
      <c r="Y486" s="64">
        <v>2912</v>
      </c>
    </row>
    <row r="487" spans="7:25" ht="26" x14ac:dyDescent="0.35">
      <c r="G487" s="67">
        <v>485</v>
      </c>
      <c r="H487" s="63" t="s">
        <v>2687</v>
      </c>
      <c r="I487" s="64" t="s">
        <v>1497</v>
      </c>
      <c r="J487" s="64">
        <v>11370</v>
      </c>
      <c r="L487" s="40">
        <v>485</v>
      </c>
      <c r="M487" s="63" t="s">
        <v>2690</v>
      </c>
      <c r="N487" s="64" t="s">
        <v>2587</v>
      </c>
      <c r="O487" s="64">
        <v>11771</v>
      </c>
      <c r="Q487" s="40">
        <v>485</v>
      </c>
      <c r="R487" s="67" t="s">
        <v>2803</v>
      </c>
      <c r="S487" s="64" t="s">
        <v>2806</v>
      </c>
      <c r="T487" s="64">
        <v>11905</v>
      </c>
      <c r="V487" s="67">
        <v>485</v>
      </c>
      <c r="W487" s="63" t="s">
        <v>56</v>
      </c>
      <c r="X487" s="64" t="s">
        <v>1182</v>
      </c>
      <c r="Y487" s="64">
        <v>10296</v>
      </c>
    </row>
    <row r="488" spans="7:25" ht="26" x14ac:dyDescent="0.35">
      <c r="G488" s="67">
        <v>486</v>
      </c>
      <c r="H488" s="63" t="s">
        <v>2687</v>
      </c>
      <c r="I488" s="64" t="s">
        <v>1169</v>
      </c>
      <c r="J488" s="64">
        <v>11369</v>
      </c>
      <c r="L488" s="40">
        <v>486</v>
      </c>
      <c r="M488" s="63" t="s">
        <v>2690</v>
      </c>
      <c r="N488" s="64" t="s">
        <v>2599</v>
      </c>
      <c r="O488" s="64">
        <v>11783</v>
      </c>
      <c r="Q488" s="40">
        <v>486</v>
      </c>
      <c r="R488" s="67" t="s">
        <v>2803</v>
      </c>
      <c r="S488" s="64" t="s">
        <v>2808</v>
      </c>
      <c r="T488" s="64">
        <v>11907</v>
      </c>
      <c r="V488" s="67">
        <v>486</v>
      </c>
      <c r="W488" s="63" t="s">
        <v>56</v>
      </c>
      <c r="X488" s="64" t="s">
        <v>2404</v>
      </c>
      <c r="Y488" s="64">
        <v>2914</v>
      </c>
    </row>
    <row r="489" spans="7:25" ht="26" x14ac:dyDescent="0.35">
      <c r="G489" s="67">
        <v>487</v>
      </c>
      <c r="H489" s="63" t="s">
        <v>2688</v>
      </c>
      <c r="I489" s="64" t="s">
        <v>139</v>
      </c>
      <c r="J489" s="64">
        <v>10934</v>
      </c>
      <c r="L489" s="40">
        <v>487</v>
      </c>
      <c r="M489" s="63" t="s">
        <v>2690</v>
      </c>
      <c r="N489" s="64" t="s">
        <v>2586</v>
      </c>
      <c r="O489" s="64">
        <v>11769</v>
      </c>
      <c r="Q489" s="40">
        <v>487</v>
      </c>
      <c r="R489" s="67" t="s">
        <v>2803</v>
      </c>
      <c r="S489" s="64" t="s">
        <v>2809</v>
      </c>
      <c r="T489" s="64">
        <v>11908</v>
      </c>
      <c r="V489" s="67">
        <v>487</v>
      </c>
      <c r="W489" s="63" t="s">
        <v>56</v>
      </c>
      <c r="X489" s="64" t="s">
        <v>2405</v>
      </c>
      <c r="Y489" s="64">
        <v>3412</v>
      </c>
    </row>
    <row r="490" spans="7:25" ht="26" x14ac:dyDescent="0.35">
      <c r="G490" s="67">
        <v>488</v>
      </c>
      <c r="H490" s="63" t="s">
        <v>2688</v>
      </c>
      <c r="I490" s="64" t="s">
        <v>247</v>
      </c>
      <c r="J490" s="64">
        <v>10969</v>
      </c>
      <c r="L490" s="40">
        <v>488</v>
      </c>
      <c r="M490" s="63" t="s">
        <v>2690</v>
      </c>
      <c r="N490" s="64" t="s">
        <v>2585</v>
      </c>
      <c r="O490" s="64">
        <v>11768</v>
      </c>
      <c r="Q490" s="40">
        <v>488</v>
      </c>
      <c r="R490" s="67" t="s">
        <v>2803</v>
      </c>
      <c r="S490" s="64" t="s">
        <v>2823</v>
      </c>
      <c r="T490" s="64">
        <v>11922</v>
      </c>
      <c r="V490" s="67">
        <v>488</v>
      </c>
      <c r="W490" s="63" t="s">
        <v>56</v>
      </c>
      <c r="X490" s="64" t="s">
        <v>2406</v>
      </c>
      <c r="Y490" s="64">
        <v>10606</v>
      </c>
    </row>
    <row r="491" spans="7:25" ht="26" x14ac:dyDescent="0.35">
      <c r="G491" s="67">
        <v>489</v>
      </c>
      <c r="H491" s="63" t="s">
        <v>2688</v>
      </c>
      <c r="I491" s="64" t="s">
        <v>298</v>
      </c>
      <c r="J491" s="64">
        <v>10986</v>
      </c>
      <c r="L491" s="40">
        <v>489</v>
      </c>
      <c r="M491" s="63" t="s">
        <v>2690</v>
      </c>
      <c r="N491" s="64" t="s">
        <v>2595</v>
      </c>
      <c r="O491" s="64">
        <v>11779</v>
      </c>
      <c r="Q491" s="40">
        <v>489</v>
      </c>
      <c r="R491" s="67" t="s">
        <v>2803</v>
      </c>
      <c r="S491" s="64" t="s">
        <v>2832</v>
      </c>
      <c r="T491" s="64">
        <v>11931</v>
      </c>
      <c r="V491" s="67">
        <v>489</v>
      </c>
      <c r="W491" s="63" t="s">
        <v>56</v>
      </c>
      <c r="X491" s="64" t="s">
        <v>2175</v>
      </c>
      <c r="Y491" s="64">
        <v>2916</v>
      </c>
    </row>
    <row r="492" spans="7:25" ht="26" x14ac:dyDescent="0.35">
      <c r="G492" s="67">
        <v>490</v>
      </c>
      <c r="H492" s="63" t="s">
        <v>2688</v>
      </c>
      <c r="I492" s="64" t="s">
        <v>511</v>
      </c>
      <c r="J492" s="64">
        <v>11077</v>
      </c>
      <c r="L492" s="40">
        <v>490</v>
      </c>
      <c r="M492" s="63" t="s">
        <v>2690</v>
      </c>
      <c r="N492" s="64" t="s">
        <v>2583</v>
      </c>
      <c r="O492" s="64">
        <v>11766</v>
      </c>
      <c r="Q492" s="40">
        <v>490</v>
      </c>
      <c r="R492" s="67" t="s">
        <v>2803</v>
      </c>
      <c r="S492" s="64" t="s">
        <v>2850</v>
      </c>
      <c r="T492" s="64">
        <v>11950</v>
      </c>
      <c r="V492" s="67">
        <v>490</v>
      </c>
      <c r="W492" s="63" t="s">
        <v>56</v>
      </c>
      <c r="X492" s="64" t="s">
        <v>2407</v>
      </c>
      <c r="Y492" s="64">
        <v>2917</v>
      </c>
    </row>
    <row r="493" spans="7:25" ht="26" x14ac:dyDescent="0.35">
      <c r="G493" s="67">
        <v>491</v>
      </c>
      <c r="H493" s="63" t="s">
        <v>2689</v>
      </c>
      <c r="I493" s="64" t="s">
        <v>869</v>
      </c>
      <c r="J493" s="64">
        <v>10790</v>
      </c>
      <c r="L493" s="40">
        <v>491</v>
      </c>
      <c r="M493" s="63" t="s">
        <v>2690</v>
      </c>
      <c r="N493" s="64" t="s">
        <v>2590</v>
      </c>
      <c r="O493" s="64">
        <v>11774</v>
      </c>
      <c r="Q493" s="40">
        <v>491</v>
      </c>
      <c r="R493" s="67" t="s">
        <v>2803</v>
      </c>
      <c r="S493" s="64" t="s">
        <v>2827</v>
      </c>
      <c r="T493" s="64">
        <v>11926</v>
      </c>
      <c r="V493" s="67">
        <v>491</v>
      </c>
      <c r="W493" s="63" t="s">
        <v>56</v>
      </c>
      <c r="X493" s="64" t="s">
        <v>2408</v>
      </c>
      <c r="Y493" s="64">
        <v>8340</v>
      </c>
    </row>
    <row r="494" spans="7:25" ht="26" x14ac:dyDescent="0.35">
      <c r="G494" s="67">
        <v>492</v>
      </c>
      <c r="H494" s="63" t="s">
        <v>2689</v>
      </c>
      <c r="I494" s="64" t="s">
        <v>124</v>
      </c>
      <c r="J494" s="64">
        <v>10930</v>
      </c>
      <c r="L494" s="40">
        <v>492</v>
      </c>
      <c r="M494" s="63" t="s">
        <v>2690</v>
      </c>
      <c r="N494" s="64" t="s">
        <v>2601</v>
      </c>
      <c r="O494" s="64">
        <v>11785</v>
      </c>
      <c r="Q494" s="40">
        <v>492</v>
      </c>
      <c r="R494" s="67" t="s">
        <v>2803</v>
      </c>
      <c r="S494" s="64" t="s">
        <v>2851</v>
      </c>
      <c r="T494" s="64">
        <v>11951</v>
      </c>
      <c r="V494" s="67">
        <v>492</v>
      </c>
      <c r="W494" s="63" t="s">
        <v>56</v>
      </c>
      <c r="X494" s="64" t="s">
        <v>2176</v>
      </c>
      <c r="Y494" s="64">
        <v>2919</v>
      </c>
    </row>
    <row r="495" spans="7:25" ht="26" x14ac:dyDescent="0.35">
      <c r="G495" s="67">
        <v>493</v>
      </c>
      <c r="H495" s="81" t="s">
        <v>2689</v>
      </c>
      <c r="I495" s="82" t="s">
        <v>3002</v>
      </c>
      <c r="J495" s="82">
        <v>12075</v>
      </c>
      <c r="L495" s="40">
        <v>493</v>
      </c>
      <c r="M495" s="63" t="s">
        <v>2690</v>
      </c>
      <c r="N495" s="64" t="s">
        <v>2589</v>
      </c>
      <c r="O495" s="64">
        <v>11773</v>
      </c>
      <c r="Q495" s="40">
        <v>493</v>
      </c>
      <c r="R495" s="67" t="s">
        <v>2803</v>
      </c>
      <c r="S495" s="64" t="s">
        <v>2812</v>
      </c>
      <c r="T495" s="64">
        <v>11911</v>
      </c>
      <c r="V495" s="67">
        <v>493</v>
      </c>
      <c r="W495" s="63" t="s">
        <v>56</v>
      </c>
      <c r="X495" s="64" t="s">
        <v>2410</v>
      </c>
      <c r="Y495" s="64">
        <v>10436</v>
      </c>
    </row>
    <row r="496" spans="7:25" ht="26" x14ac:dyDescent="0.35">
      <c r="G496" s="67">
        <v>494</v>
      </c>
      <c r="H496" s="63" t="s">
        <v>2689</v>
      </c>
      <c r="I496" s="64" t="s">
        <v>135</v>
      </c>
      <c r="J496" s="64">
        <v>10933</v>
      </c>
      <c r="L496" s="40">
        <v>494</v>
      </c>
      <c r="M496" s="63" t="s">
        <v>2690</v>
      </c>
      <c r="N496" s="64" t="s">
        <v>2577</v>
      </c>
      <c r="O496" s="64">
        <v>11760</v>
      </c>
      <c r="Q496" s="40">
        <v>494</v>
      </c>
      <c r="R496" s="67" t="s">
        <v>2803</v>
      </c>
      <c r="S496" s="64" t="s">
        <v>2813</v>
      </c>
      <c r="T496" s="64">
        <v>11912</v>
      </c>
      <c r="V496" s="67">
        <v>494</v>
      </c>
      <c r="W496" s="63" t="s">
        <v>56</v>
      </c>
      <c r="X496" s="64" t="s">
        <v>2411</v>
      </c>
      <c r="Y496" s="64">
        <v>2900</v>
      </c>
    </row>
    <row r="497" spans="7:25" ht="26" x14ac:dyDescent="0.35">
      <c r="G497" s="67">
        <v>495</v>
      </c>
      <c r="H497" s="63" t="s">
        <v>2689</v>
      </c>
      <c r="I497" s="64" t="s">
        <v>1330</v>
      </c>
      <c r="J497" s="64">
        <v>11374</v>
      </c>
      <c r="L497" s="40">
        <v>495</v>
      </c>
      <c r="M497" s="63" t="s">
        <v>2690</v>
      </c>
      <c r="N497" s="64" t="s">
        <v>2592</v>
      </c>
      <c r="O497" s="64">
        <v>11776</v>
      </c>
      <c r="Q497" s="40">
        <v>495</v>
      </c>
      <c r="R497" s="67" t="s">
        <v>2803</v>
      </c>
      <c r="S497" s="64" t="s">
        <v>2819</v>
      </c>
      <c r="T497" s="64">
        <v>11918</v>
      </c>
      <c r="V497" s="67">
        <v>495</v>
      </c>
      <c r="W497" s="63" t="s">
        <v>56</v>
      </c>
      <c r="X497" s="64" t="s">
        <v>2412</v>
      </c>
      <c r="Y497" s="64">
        <v>10100</v>
      </c>
    </row>
    <row r="498" spans="7:25" ht="26" x14ac:dyDescent="0.35">
      <c r="G498" s="67">
        <v>496</v>
      </c>
      <c r="H498" s="63" t="s">
        <v>2689</v>
      </c>
      <c r="I498" s="64" t="s">
        <v>158</v>
      </c>
      <c r="J498" s="64">
        <v>10939</v>
      </c>
      <c r="L498" s="40">
        <v>496</v>
      </c>
      <c r="M498" s="63" t="s">
        <v>2690</v>
      </c>
      <c r="N498" s="64" t="s">
        <v>2578</v>
      </c>
      <c r="O498" s="64">
        <v>11761</v>
      </c>
      <c r="Q498" s="40">
        <v>496</v>
      </c>
      <c r="R498" s="67" t="s">
        <v>2803</v>
      </c>
      <c r="S498" s="64" t="s">
        <v>2846</v>
      </c>
      <c r="T498" s="64">
        <v>11945</v>
      </c>
      <c r="V498" s="67">
        <v>496</v>
      </c>
      <c r="W498" s="63" t="s">
        <v>56</v>
      </c>
      <c r="X498" s="64" t="s">
        <v>2177</v>
      </c>
      <c r="Y498" s="64">
        <v>2920</v>
      </c>
    </row>
    <row r="499" spans="7:25" ht="26" x14ac:dyDescent="0.35">
      <c r="G499" s="67">
        <v>497</v>
      </c>
      <c r="H499" s="63" t="s">
        <v>2689</v>
      </c>
      <c r="I499" s="64" t="s">
        <v>161</v>
      </c>
      <c r="J499" s="64">
        <v>10940</v>
      </c>
      <c r="L499" s="40">
        <v>497</v>
      </c>
      <c r="M499" s="63" t="s">
        <v>2690</v>
      </c>
      <c r="N499" s="64" t="s">
        <v>2604</v>
      </c>
      <c r="O499" s="64">
        <v>10902</v>
      </c>
      <c r="Q499" s="40">
        <v>497</v>
      </c>
      <c r="R499" s="67" t="s">
        <v>2803</v>
      </c>
      <c r="S499" s="64" t="s">
        <v>2826</v>
      </c>
      <c r="T499" s="64">
        <v>11925</v>
      </c>
      <c r="V499" s="67">
        <v>497</v>
      </c>
      <c r="W499" s="63" t="s">
        <v>56</v>
      </c>
      <c r="X499" s="64" t="s">
        <v>2413</v>
      </c>
      <c r="Y499" s="64">
        <v>2921</v>
      </c>
    </row>
    <row r="500" spans="7:25" ht="26" x14ac:dyDescent="0.35">
      <c r="G500" s="67">
        <v>498</v>
      </c>
      <c r="H500" s="63" t="s">
        <v>2689</v>
      </c>
      <c r="I500" s="64" t="s">
        <v>230</v>
      </c>
      <c r="J500" s="64">
        <v>11373</v>
      </c>
      <c r="L500" s="40">
        <v>498</v>
      </c>
      <c r="M500" s="63" t="s">
        <v>2690</v>
      </c>
      <c r="N500" s="64" t="s">
        <v>837</v>
      </c>
      <c r="O500" s="64">
        <v>10904</v>
      </c>
      <c r="Q500" s="40">
        <v>498</v>
      </c>
      <c r="R500" s="67" t="s">
        <v>2803</v>
      </c>
      <c r="S500" s="64" t="s">
        <v>2821</v>
      </c>
      <c r="T500" s="64">
        <v>11920</v>
      </c>
      <c r="V500" s="67">
        <v>498</v>
      </c>
      <c r="W500" s="63" t="s">
        <v>56</v>
      </c>
      <c r="X500" s="64" t="s">
        <v>2414</v>
      </c>
      <c r="Y500" s="64">
        <v>8210</v>
      </c>
    </row>
    <row r="501" spans="7:25" ht="26" x14ac:dyDescent="0.35">
      <c r="G501" s="67">
        <v>499</v>
      </c>
      <c r="H501" s="63" t="s">
        <v>2689</v>
      </c>
      <c r="I501" s="64" t="s">
        <v>203</v>
      </c>
      <c r="J501" s="64">
        <v>10953</v>
      </c>
      <c r="L501" s="40">
        <v>499</v>
      </c>
      <c r="M501" s="63" t="s">
        <v>2690</v>
      </c>
      <c r="N501" s="64" t="s">
        <v>2593</v>
      </c>
      <c r="O501" s="64">
        <v>11777</v>
      </c>
      <c r="Q501" s="40">
        <v>499</v>
      </c>
      <c r="R501" s="67" t="s">
        <v>2803</v>
      </c>
      <c r="S501" s="64" t="s">
        <v>2825</v>
      </c>
      <c r="T501" s="64">
        <v>11924</v>
      </c>
      <c r="V501" s="67">
        <v>499</v>
      </c>
      <c r="W501" s="63" t="s">
        <v>56</v>
      </c>
      <c r="X501" s="64" t="s">
        <v>2415</v>
      </c>
      <c r="Y501" s="64">
        <v>3414</v>
      </c>
    </row>
    <row r="502" spans="7:25" ht="26" x14ac:dyDescent="0.35">
      <c r="G502" s="67">
        <v>500</v>
      </c>
      <c r="H502" s="63" t="s">
        <v>2689</v>
      </c>
      <c r="I502" s="64" t="s">
        <v>627</v>
      </c>
      <c r="J502" s="64">
        <v>10831</v>
      </c>
      <c r="L502" s="40">
        <v>500</v>
      </c>
      <c r="M502" s="63" t="s">
        <v>2690</v>
      </c>
      <c r="N502" s="64" t="s">
        <v>983</v>
      </c>
      <c r="O502" s="64">
        <v>11770</v>
      </c>
      <c r="Q502" s="40">
        <v>500</v>
      </c>
      <c r="R502" s="67" t="s">
        <v>2803</v>
      </c>
      <c r="S502" s="64" t="s">
        <v>2836</v>
      </c>
      <c r="T502" s="64">
        <v>11935</v>
      </c>
      <c r="V502" s="67">
        <v>500</v>
      </c>
      <c r="W502" s="63" t="s">
        <v>56</v>
      </c>
      <c r="X502" s="64" t="s">
        <v>2178</v>
      </c>
      <c r="Y502" s="64">
        <v>10297</v>
      </c>
    </row>
    <row r="503" spans="7:25" ht="26" x14ac:dyDescent="0.35">
      <c r="G503" s="67">
        <v>501</v>
      </c>
      <c r="H503" s="63" t="s">
        <v>2689</v>
      </c>
      <c r="I503" s="64" t="s">
        <v>256</v>
      </c>
      <c r="J503" s="64">
        <v>10972</v>
      </c>
      <c r="L503" s="40">
        <v>501</v>
      </c>
      <c r="M503" s="63" t="s">
        <v>2690</v>
      </c>
      <c r="N503" s="64" t="s">
        <v>2602</v>
      </c>
      <c r="O503" s="64">
        <v>11786</v>
      </c>
      <c r="Q503" s="40">
        <v>501</v>
      </c>
      <c r="R503" s="67" t="s">
        <v>2803</v>
      </c>
      <c r="S503" s="64" t="s">
        <v>2852</v>
      </c>
      <c r="T503" s="64">
        <v>11952</v>
      </c>
      <c r="V503" s="67">
        <v>501</v>
      </c>
      <c r="W503" s="63" t="s">
        <v>56</v>
      </c>
      <c r="X503" s="64" t="s">
        <v>2421</v>
      </c>
      <c r="Y503" s="64">
        <v>2924</v>
      </c>
    </row>
    <row r="504" spans="7:25" ht="26" x14ac:dyDescent="0.35">
      <c r="G504" s="67">
        <v>502</v>
      </c>
      <c r="H504" s="63" t="s">
        <v>2689</v>
      </c>
      <c r="I504" s="64" t="s">
        <v>295</v>
      </c>
      <c r="J504" s="64">
        <v>10985</v>
      </c>
      <c r="L504" s="40">
        <v>502</v>
      </c>
      <c r="M504" s="63" t="s">
        <v>2690</v>
      </c>
      <c r="N504" s="64" t="s">
        <v>2582</v>
      </c>
      <c r="O504" s="64">
        <v>11765</v>
      </c>
      <c r="Q504" s="40">
        <v>502</v>
      </c>
      <c r="R504" s="67" t="s">
        <v>2803</v>
      </c>
      <c r="S504" s="64" t="s">
        <v>2822</v>
      </c>
      <c r="T504" s="64">
        <v>11921</v>
      </c>
      <c r="V504" s="67">
        <v>502</v>
      </c>
      <c r="W504" s="63" t="s">
        <v>56</v>
      </c>
      <c r="X504" s="64" t="s">
        <v>2422</v>
      </c>
      <c r="Y504" s="64">
        <v>8331</v>
      </c>
    </row>
    <row r="505" spans="7:25" ht="26" x14ac:dyDescent="0.35">
      <c r="G505" s="67">
        <v>503</v>
      </c>
      <c r="H505" s="63" t="s">
        <v>2689</v>
      </c>
      <c r="I505" s="64" t="s">
        <v>1433</v>
      </c>
      <c r="J505" s="64">
        <v>10861</v>
      </c>
      <c r="L505" s="40">
        <v>503</v>
      </c>
      <c r="M505" s="63" t="s">
        <v>2690</v>
      </c>
      <c r="N505" s="64" t="s">
        <v>2603</v>
      </c>
      <c r="O505" s="64">
        <v>11787</v>
      </c>
      <c r="Q505" s="40">
        <v>503</v>
      </c>
      <c r="R505" s="67" t="s">
        <v>2803</v>
      </c>
      <c r="S505" s="64" t="s">
        <v>2838</v>
      </c>
      <c r="T505" s="64">
        <v>11937</v>
      </c>
      <c r="V505" s="67">
        <v>503</v>
      </c>
      <c r="W505" s="63" t="s">
        <v>56</v>
      </c>
      <c r="X505" s="64" t="s">
        <v>2424</v>
      </c>
      <c r="Y505" s="64">
        <v>8189</v>
      </c>
    </row>
    <row r="506" spans="7:25" ht="26" x14ac:dyDescent="0.35">
      <c r="G506" s="67">
        <v>504</v>
      </c>
      <c r="H506" s="63" t="s">
        <v>2689</v>
      </c>
      <c r="I506" s="64" t="s">
        <v>317</v>
      </c>
      <c r="J506" s="64">
        <v>10994</v>
      </c>
      <c r="L506" s="40">
        <v>504</v>
      </c>
      <c r="M506" s="63" t="s">
        <v>2690</v>
      </c>
      <c r="N506" s="64" t="s">
        <v>2591</v>
      </c>
      <c r="O506" s="64">
        <v>11775</v>
      </c>
      <c r="Q506" s="40">
        <v>504</v>
      </c>
      <c r="R506" s="67" t="s">
        <v>2803</v>
      </c>
      <c r="S506" s="64" t="s">
        <v>2848</v>
      </c>
      <c r="T506" s="64">
        <v>11947</v>
      </c>
      <c r="V506" s="67">
        <v>504</v>
      </c>
      <c r="W506" s="63" t="s">
        <v>56</v>
      </c>
      <c r="X506" s="64" t="s">
        <v>2425</v>
      </c>
      <c r="Y506" s="64">
        <v>10151</v>
      </c>
    </row>
    <row r="507" spans="7:25" ht="26" x14ac:dyDescent="0.35">
      <c r="G507" s="67">
        <v>505</v>
      </c>
      <c r="H507" s="63" t="s">
        <v>2689</v>
      </c>
      <c r="I507" s="64" t="s">
        <v>320</v>
      </c>
      <c r="J507" s="64">
        <v>10995</v>
      </c>
      <c r="L507" s="40">
        <v>505</v>
      </c>
      <c r="M507" s="63" t="s">
        <v>2803</v>
      </c>
      <c r="N507" s="64" t="s">
        <v>2787</v>
      </c>
      <c r="O507" s="64">
        <v>11889</v>
      </c>
      <c r="Q507" s="40">
        <v>505</v>
      </c>
      <c r="R507" s="67" t="s">
        <v>2803</v>
      </c>
      <c r="S507" s="64" t="s">
        <v>2853</v>
      </c>
      <c r="T507" s="64">
        <v>11953</v>
      </c>
      <c r="V507" s="67">
        <v>505</v>
      </c>
      <c r="W507" s="63" t="s">
        <v>56</v>
      </c>
      <c r="X507" s="64" t="s">
        <v>2426</v>
      </c>
      <c r="Y507" s="64">
        <v>2926</v>
      </c>
    </row>
    <row r="508" spans="7:25" ht="26" x14ac:dyDescent="0.35">
      <c r="G508" s="67">
        <v>506</v>
      </c>
      <c r="H508" s="63" t="s">
        <v>2689</v>
      </c>
      <c r="I508" s="64" t="s">
        <v>323</v>
      </c>
      <c r="J508" s="64">
        <v>10996</v>
      </c>
      <c r="L508" s="40">
        <v>506</v>
      </c>
      <c r="M508" s="63" t="s">
        <v>2803</v>
      </c>
      <c r="N508" s="77" t="s">
        <v>2804</v>
      </c>
      <c r="O508" s="64">
        <v>11127</v>
      </c>
      <c r="Q508" s="40">
        <v>506</v>
      </c>
      <c r="R508" s="67" t="s">
        <v>2803</v>
      </c>
      <c r="S508" s="64" t="s">
        <v>2828</v>
      </c>
      <c r="T508" s="64">
        <v>11927</v>
      </c>
      <c r="V508" s="67">
        <v>506</v>
      </c>
      <c r="W508" s="63" t="s">
        <v>56</v>
      </c>
      <c r="X508" s="64" t="s">
        <v>2427</v>
      </c>
      <c r="Y508" s="64">
        <v>3416</v>
      </c>
    </row>
    <row r="509" spans="7:25" ht="26" x14ac:dyDescent="0.35">
      <c r="G509" s="67">
        <v>507</v>
      </c>
      <c r="H509" s="63" t="s">
        <v>2689</v>
      </c>
      <c r="I509" s="64" t="s">
        <v>339</v>
      </c>
      <c r="J509" s="64">
        <v>11003</v>
      </c>
      <c r="L509" s="40">
        <v>507</v>
      </c>
      <c r="M509" s="63" t="s">
        <v>2803</v>
      </c>
      <c r="N509" s="64" t="s">
        <v>2805</v>
      </c>
      <c r="O509" s="64">
        <v>11573</v>
      </c>
      <c r="Q509" s="40">
        <v>507</v>
      </c>
      <c r="R509" s="67" t="s">
        <v>2803</v>
      </c>
      <c r="S509" s="64" t="s">
        <v>2814</v>
      </c>
      <c r="T509" s="64">
        <v>11913</v>
      </c>
      <c r="V509" s="67">
        <v>507</v>
      </c>
      <c r="W509" s="63" t="s">
        <v>56</v>
      </c>
      <c r="X509" s="64" t="s">
        <v>2179</v>
      </c>
      <c r="Y509" s="64">
        <v>2927</v>
      </c>
    </row>
    <row r="510" spans="7:25" ht="26" x14ac:dyDescent="0.35">
      <c r="G510" s="67">
        <v>508</v>
      </c>
      <c r="H510" s="63" t="s">
        <v>2689</v>
      </c>
      <c r="I510" s="64" t="s">
        <v>739</v>
      </c>
      <c r="J510" s="64">
        <v>10873</v>
      </c>
      <c r="L510" s="40">
        <v>508</v>
      </c>
      <c r="M510" s="63" t="s">
        <v>2803</v>
      </c>
      <c r="N510" s="64" t="s">
        <v>2790</v>
      </c>
      <c r="O510" s="64">
        <v>11892</v>
      </c>
      <c r="Q510" s="40">
        <v>508</v>
      </c>
      <c r="R510" s="67" t="s">
        <v>2803</v>
      </c>
      <c r="S510" s="64" t="s">
        <v>2829</v>
      </c>
      <c r="T510" s="64">
        <v>11928</v>
      </c>
      <c r="V510" s="67">
        <v>508</v>
      </c>
      <c r="W510" s="63" t="s">
        <v>56</v>
      </c>
      <c r="X510" s="64" t="s">
        <v>2428</v>
      </c>
      <c r="Y510" s="64">
        <v>10299</v>
      </c>
    </row>
    <row r="511" spans="7:25" ht="26" x14ac:dyDescent="0.35">
      <c r="G511" s="67">
        <v>509</v>
      </c>
      <c r="H511" s="63" t="s">
        <v>2689</v>
      </c>
      <c r="I511" s="64" t="s">
        <v>373</v>
      </c>
      <c r="J511" s="64">
        <v>11015</v>
      </c>
      <c r="L511" s="40">
        <v>509</v>
      </c>
      <c r="M511" s="63" t="s">
        <v>2803</v>
      </c>
      <c r="N511" s="64" t="s">
        <v>2789</v>
      </c>
      <c r="O511" s="64">
        <v>11891</v>
      </c>
      <c r="Q511" s="40">
        <v>509</v>
      </c>
      <c r="R511" s="67" t="s">
        <v>2803</v>
      </c>
      <c r="S511" s="64" t="s">
        <v>2831</v>
      </c>
      <c r="T511" s="64">
        <v>11930</v>
      </c>
      <c r="V511" s="67">
        <v>509</v>
      </c>
      <c r="W511" s="63" t="s">
        <v>56</v>
      </c>
      <c r="X511" s="64" t="s">
        <v>1184</v>
      </c>
      <c r="Y511" s="64">
        <v>8207</v>
      </c>
    </row>
    <row r="512" spans="7:25" ht="26" x14ac:dyDescent="0.35">
      <c r="G512" s="67">
        <v>510</v>
      </c>
      <c r="H512" s="63" t="s">
        <v>2689</v>
      </c>
      <c r="I512" s="64" t="s">
        <v>1453</v>
      </c>
      <c r="J512" s="64">
        <v>11054</v>
      </c>
      <c r="L512" s="40">
        <v>510</v>
      </c>
      <c r="M512" s="63" t="s">
        <v>2803</v>
      </c>
      <c r="N512" s="64" t="s">
        <v>2788</v>
      </c>
      <c r="O512" s="64">
        <v>11890</v>
      </c>
      <c r="Q512" s="40">
        <v>510</v>
      </c>
      <c r="R512" s="67" t="s">
        <v>2803</v>
      </c>
      <c r="S512" s="64" t="s">
        <v>2830</v>
      </c>
      <c r="T512" s="64">
        <v>11929</v>
      </c>
      <c r="V512" s="67">
        <v>510</v>
      </c>
      <c r="W512" s="63" t="s">
        <v>56</v>
      </c>
      <c r="X512" s="64" t="s">
        <v>2180</v>
      </c>
      <c r="Y512" s="64">
        <v>3418</v>
      </c>
    </row>
    <row r="513" spans="7:25" ht="26" x14ac:dyDescent="0.35">
      <c r="G513" s="67">
        <v>511</v>
      </c>
      <c r="H513" s="63" t="s">
        <v>2689</v>
      </c>
      <c r="I513" s="64" t="s">
        <v>1454</v>
      </c>
      <c r="J513" s="64">
        <v>11067</v>
      </c>
      <c r="L513" s="40">
        <v>511</v>
      </c>
      <c r="M513" s="63" t="s">
        <v>2867</v>
      </c>
      <c r="N513" s="64" t="s">
        <v>2870</v>
      </c>
      <c r="O513" s="64">
        <v>11993</v>
      </c>
      <c r="Q513" s="40">
        <v>511</v>
      </c>
      <c r="R513" s="67" t="s">
        <v>2803</v>
      </c>
      <c r="S513" s="64" t="s">
        <v>2845</v>
      </c>
      <c r="T513" s="64">
        <v>11944</v>
      </c>
      <c r="V513" s="67">
        <v>511</v>
      </c>
      <c r="W513" s="63" t="s">
        <v>56</v>
      </c>
      <c r="X513" s="64" t="s">
        <v>2431</v>
      </c>
      <c r="Y513" s="64">
        <v>10121</v>
      </c>
    </row>
    <row r="514" spans="7:25" ht="26" x14ac:dyDescent="0.35">
      <c r="G514" s="67">
        <v>512</v>
      </c>
      <c r="H514" s="63" t="s">
        <v>2689</v>
      </c>
      <c r="I514" s="64" t="s">
        <v>515</v>
      </c>
      <c r="J514" s="64">
        <v>11079</v>
      </c>
      <c r="L514" s="40">
        <v>512</v>
      </c>
      <c r="M514" s="63" t="s">
        <v>2867</v>
      </c>
      <c r="N514" s="64" t="s">
        <v>2238</v>
      </c>
      <c r="O514" s="64">
        <v>11990</v>
      </c>
      <c r="Q514" s="40">
        <v>512</v>
      </c>
      <c r="R514" s="67" t="s">
        <v>2803</v>
      </c>
      <c r="S514" s="64" t="s">
        <v>2824</v>
      </c>
      <c r="T514" s="64">
        <v>11923</v>
      </c>
      <c r="V514" s="67">
        <v>512</v>
      </c>
      <c r="W514" s="63" t="s">
        <v>56</v>
      </c>
      <c r="X514" s="64" t="s">
        <v>2423</v>
      </c>
      <c r="Y514" s="64">
        <v>8293</v>
      </c>
    </row>
    <row r="515" spans="7:25" ht="26" x14ac:dyDescent="0.35">
      <c r="G515" s="67">
        <v>513</v>
      </c>
      <c r="H515" s="63" t="s">
        <v>2689</v>
      </c>
      <c r="I515" s="64" t="s">
        <v>879</v>
      </c>
      <c r="J515" s="64">
        <v>10795</v>
      </c>
      <c r="L515" s="40">
        <v>513</v>
      </c>
      <c r="M515" s="63" t="s">
        <v>2867</v>
      </c>
      <c r="N515" s="64" t="s">
        <v>1494</v>
      </c>
      <c r="O515" s="64">
        <v>11115</v>
      </c>
      <c r="Q515" s="40">
        <v>513</v>
      </c>
      <c r="R515" s="67" t="s">
        <v>2803</v>
      </c>
      <c r="S515" s="64" t="s">
        <v>2833</v>
      </c>
      <c r="T515" s="64">
        <v>11932</v>
      </c>
      <c r="V515" s="67">
        <v>513</v>
      </c>
      <c r="W515" s="63" t="s">
        <v>56</v>
      </c>
      <c r="X515" s="64" t="s">
        <v>1185</v>
      </c>
      <c r="Y515" s="64">
        <v>2439</v>
      </c>
    </row>
    <row r="516" spans="7:25" ht="26" x14ac:dyDescent="0.35">
      <c r="G516" s="67">
        <v>514</v>
      </c>
      <c r="H516" s="63" t="s">
        <v>2689</v>
      </c>
      <c r="I516" s="64" t="s">
        <v>531</v>
      </c>
      <c r="J516" s="64">
        <v>11088</v>
      </c>
      <c r="L516" s="40">
        <v>514</v>
      </c>
      <c r="M516" s="63" t="s">
        <v>2867</v>
      </c>
      <c r="N516" s="64" t="s">
        <v>2868</v>
      </c>
      <c r="O516" s="64">
        <v>11991</v>
      </c>
      <c r="Q516" s="40">
        <v>514</v>
      </c>
      <c r="R516" s="67" t="s">
        <v>2803</v>
      </c>
      <c r="S516" s="64" t="s">
        <v>2834</v>
      </c>
      <c r="T516" s="64">
        <v>11933</v>
      </c>
      <c r="V516" s="67">
        <v>514</v>
      </c>
      <c r="W516" s="63" t="s">
        <v>56</v>
      </c>
      <c r="X516" s="64" t="s">
        <v>1186</v>
      </c>
      <c r="Y516" s="64">
        <v>10300</v>
      </c>
    </row>
    <row r="517" spans="7:25" ht="26" x14ac:dyDescent="0.35">
      <c r="G517" s="67">
        <v>515</v>
      </c>
      <c r="H517" s="63" t="s">
        <v>2690</v>
      </c>
      <c r="I517" s="64" t="s">
        <v>1406</v>
      </c>
      <c r="J517" s="64">
        <v>11492</v>
      </c>
      <c r="L517" s="40">
        <v>515</v>
      </c>
      <c r="M517" s="63" t="s">
        <v>2867</v>
      </c>
      <c r="N517" s="64" t="s">
        <v>2869</v>
      </c>
      <c r="O517" s="64">
        <v>11992</v>
      </c>
      <c r="Q517" s="40">
        <v>515</v>
      </c>
      <c r="R517" s="63" t="s">
        <v>2803</v>
      </c>
      <c r="S517" s="64" t="s">
        <v>2791</v>
      </c>
      <c r="T517" s="64">
        <v>11893</v>
      </c>
      <c r="V517" s="67">
        <v>515</v>
      </c>
      <c r="W517" s="63" t="s">
        <v>56</v>
      </c>
      <c r="X517" s="64" t="s">
        <v>1187</v>
      </c>
      <c r="Y517" s="64">
        <v>10301</v>
      </c>
    </row>
    <row r="518" spans="7:25" ht="26" x14ac:dyDescent="0.35">
      <c r="G518" s="67">
        <v>516</v>
      </c>
      <c r="H518" s="63" t="s">
        <v>2690</v>
      </c>
      <c r="I518" s="64" t="s">
        <v>64</v>
      </c>
      <c r="J518" s="64">
        <v>11111</v>
      </c>
      <c r="L518" s="40">
        <v>516</v>
      </c>
      <c r="M518" s="63" t="s">
        <v>2867</v>
      </c>
      <c r="N518" s="64" t="s">
        <v>1695</v>
      </c>
      <c r="O518" s="64">
        <v>11704</v>
      </c>
      <c r="Q518" s="40">
        <v>516</v>
      </c>
      <c r="R518" s="67" t="s">
        <v>2803</v>
      </c>
      <c r="S518" s="64" t="s">
        <v>2810</v>
      </c>
      <c r="T518" s="64">
        <v>11909</v>
      </c>
      <c r="V518" s="67">
        <v>516</v>
      </c>
      <c r="W518" s="63" t="s">
        <v>56</v>
      </c>
      <c r="X518" s="64" t="s">
        <v>2432</v>
      </c>
      <c r="Y518" s="64">
        <v>2931</v>
      </c>
    </row>
    <row r="519" spans="7:25" ht="26" x14ac:dyDescent="0.35">
      <c r="G519" s="67">
        <v>517</v>
      </c>
      <c r="H519" s="63" t="s">
        <v>2690</v>
      </c>
      <c r="I519" s="64" t="s">
        <v>349</v>
      </c>
      <c r="J519" s="64">
        <v>11006</v>
      </c>
      <c r="L519" s="40">
        <v>517</v>
      </c>
      <c r="M519" s="63" t="s">
        <v>2867</v>
      </c>
      <c r="N519" s="64" t="s">
        <v>1583</v>
      </c>
      <c r="O519" s="64">
        <v>11694</v>
      </c>
      <c r="Q519" s="40">
        <v>517</v>
      </c>
      <c r="R519" s="67" t="s">
        <v>2803</v>
      </c>
      <c r="S519" s="64" t="s">
        <v>2815</v>
      </c>
      <c r="T519" s="64">
        <v>11914</v>
      </c>
      <c r="V519" s="67">
        <v>517</v>
      </c>
      <c r="W519" s="63" t="s">
        <v>56</v>
      </c>
      <c r="X519" s="64" t="s">
        <v>2433</v>
      </c>
      <c r="Y519" s="64">
        <v>2932</v>
      </c>
    </row>
    <row r="520" spans="7:25" ht="26" x14ac:dyDescent="0.35">
      <c r="G520" s="67">
        <v>518</v>
      </c>
      <c r="H520" s="63" t="s">
        <v>2803</v>
      </c>
      <c r="I520" s="64" t="s">
        <v>288</v>
      </c>
      <c r="J520" s="64">
        <v>11528</v>
      </c>
      <c r="L520" s="40">
        <v>518</v>
      </c>
      <c r="M520" s="63" t="s">
        <v>2867</v>
      </c>
      <c r="N520" s="64" t="s">
        <v>2500</v>
      </c>
      <c r="O520" s="64">
        <v>11994</v>
      </c>
      <c r="Q520" s="40">
        <v>518</v>
      </c>
      <c r="R520" s="67" t="s">
        <v>2803</v>
      </c>
      <c r="S520" s="64" t="s">
        <v>2844</v>
      </c>
      <c r="T520" s="64">
        <v>11943</v>
      </c>
      <c r="V520" s="67">
        <v>518</v>
      </c>
      <c r="W520" s="63" t="s">
        <v>56</v>
      </c>
      <c r="X520" s="64" t="s">
        <v>2181</v>
      </c>
      <c r="Y520" s="64">
        <v>2934</v>
      </c>
    </row>
    <row r="521" spans="7:25" ht="26" x14ac:dyDescent="0.35">
      <c r="G521" s="67">
        <v>519</v>
      </c>
      <c r="H521" s="63" t="s">
        <v>2803</v>
      </c>
      <c r="I521" s="64" t="s">
        <v>1502</v>
      </c>
      <c r="J521" s="64">
        <v>11535</v>
      </c>
      <c r="L521" s="40">
        <v>519</v>
      </c>
      <c r="M521" s="63" t="s">
        <v>2857</v>
      </c>
      <c r="N521" s="64" t="s">
        <v>1519</v>
      </c>
      <c r="O521" s="64">
        <v>11553</v>
      </c>
      <c r="Q521" s="40">
        <v>519</v>
      </c>
      <c r="R521" s="67" t="s">
        <v>2803</v>
      </c>
      <c r="S521" s="64" t="s">
        <v>2854</v>
      </c>
      <c r="T521" s="64">
        <v>11954</v>
      </c>
      <c r="V521" s="67">
        <v>519</v>
      </c>
      <c r="W521" s="63" t="s">
        <v>56</v>
      </c>
      <c r="X521" s="64" t="s">
        <v>1188</v>
      </c>
      <c r="Y521" s="64">
        <v>11250</v>
      </c>
    </row>
    <row r="522" spans="7:25" ht="26" x14ac:dyDescent="0.35">
      <c r="G522" s="67">
        <v>520</v>
      </c>
      <c r="H522" s="63" t="s">
        <v>2803</v>
      </c>
      <c r="I522" s="64" t="s">
        <v>1578</v>
      </c>
      <c r="J522" s="64">
        <v>11689</v>
      </c>
      <c r="L522" s="40">
        <v>520</v>
      </c>
      <c r="M522" s="63" t="s">
        <v>2857</v>
      </c>
      <c r="N522" s="64" t="s">
        <v>629</v>
      </c>
      <c r="O522" s="64">
        <v>11838</v>
      </c>
      <c r="Q522" s="40">
        <v>520</v>
      </c>
      <c r="R522" s="67" t="s">
        <v>2803</v>
      </c>
      <c r="S522" s="64" t="s">
        <v>2835</v>
      </c>
      <c r="T522" s="64">
        <v>11934</v>
      </c>
      <c r="V522" s="67">
        <v>520</v>
      </c>
      <c r="W522" s="63" t="s">
        <v>56</v>
      </c>
      <c r="X522" s="64" t="s">
        <v>2182</v>
      </c>
      <c r="Y522" s="64">
        <v>10302</v>
      </c>
    </row>
    <row r="523" spans="7:25" ht="26" x14ac:dyDescent="0.35">
      <c r="G523" s="67">
        <v>521</v>
      </c>
      <c r="H523" s="63" t="s">
        <v>2803</v>
      </c>
      <c r="I523" s="64" t="s">
        <v>508</v>
      </c>
      <c r="J523" s="64">
        <v>11075</v>
      </c>
      <c r="L523" s="40">
        <v>521</v>
      </c>
      <c r="M523" s="63" t="s">
        <v>2857</v>
      </c>
      <c r="N523" s="80" t="s">
        <v>2994</v>
      </c>
      <c r="O523" s="75" t="s">
        <v>2995</v>
      </c>
      <c r="Q523" s="40">
        <v>521</v>
      </c>
      <c r="R523" s="67" t="s">
        <v>2803</v>
      </c>
      <c r="S523" s="64" t="s">
        <v>2847</v>
      </c>
      <c r="T523" s="64">
        <v>11946</v>
      </c>
      <c r="V523" s="67">
        <v>521</v>
      </c>
      <c r="W523" s="63" t="s">
        <v>56</v>
      </c>
      <c r="X523" s="64" t="s">
        <v>2434</v>
      </c>
      <c r="Y523" s="64">
        <v>3419</v>
      </c>
    </row>
    <row r="524" spans="7:25" ht="26" x14ac:dyDescent="0.35">
      <c r="G524" s="67">
        <v>522</v>
      </c>
      <c r="H524" s="63" t="s">
        <v>2871</v>
      </c>
      <c r="I524" s="64" t="s">
        <v>63</v>
      </c>
      <c r="J524" s="64">
        <v>10915</v>
      </c>
      <c r="L524" s="40">
        <v>522</v>
      </c>
      <c r="M524" s="63" t="s">
        <v>2857</v>
      </c>
      <c r="N524" s="64" t="s">
        <v>1528</v>
      </c>
      <c r="O524" s="64">
        <v>11566</v>
      </c>
      <c r="Q524" s="40">
        <v>522</v>
      </c>
      <c r="R524" s="67" t="s">
        <v>2803</v>
      </c>
      <c r="S524" s="64" t="s">
        <v>2839</v>
      </c>
      <c r="T524" s="64">
        <v>11938</v>
      </c>
      <c r="V524" s="67">
        <v>522</v>
      </c>
      <c r="W524" s="63" t="s">
        <v>56</v>
      </c>
      <c r="X524" s="64" t="s">
        <v>742</v>
      </c>
      <c r="Y524" s="64">
        <v>2936</v>
      </c>
    </row>
    <row r="525" spans="7:25" ht="26" x14ac:dyDescent="0.35">
      <c r="G525" s="67">
        <v>523</v>
      </c>
      <c r="H525" s="63" t="s">
        <v>2871</v>
      </c>
      <c r="I525" s="64" t="s">
        <v>100</v>
      </c>
      <c r="J525" s="64">
        <v>10924</v>
      </c>
      <c r="L525" s="40">
        <v>523</v>
      </c>
      <c r="M525" s="67" t="s">
        <v>1146</v>
      </c>
      <c r="N525" s="80" t="s">
        <v>2997</v>
      </c>
      <c r="O525" s="75">
        <v>12073</v>
      </c>
      <c r="Q525" s="40">
        <v>523</v>
      </c>
      <c r="R525" s="67" t="s">
        <v>2803</v>
      </c>
      <c r="S525" s="64" t="s">
        <v>2811</v>
      </c>
      <c r="T525" s="64">
        <v>11910</v>
      </c>
      <c r="V525" s="67">
        <v>523</v>
      </c>
      <c r="W525" s="63" t="s">
        <v>56</v>
      </c>
      <c r="X525" s="64" t="s">
        <v>2183</v>
      </c>
      <c r="Y525" s="64">
        <v>2937</v>
      </c>
    </row>
    <row r="526" spans="7:25" ht="26" x14ac:dyDescent="0.35">
      <c r="G526" s="67">
        <v>524</v>
      </c>
      <c r="H526" s="63" t="s">
        <v>2871</v>
      </c>
      <c r="I526" s="64" t="s">
        <v>282</v>
      </c>
      <c r="J526" s="64">
        <v>10981</v>
      </c>
      <c r="L526" s="40">
        <v>524</v>
      </c>
      <c r="M526" s="63" t="s">
        <v>1146</v>
      </c>
      <c r="N526" s="64" t="s">
        <v>2660</v>
      </c>
      <c r="O526" s="64">
        <v>11824</v>
      </c>
      <c r="Q526" s="40">
        <v>524</v>
      </c>
      <c r="R526" s="67" t="s">
        <v>2803</v>
      </c>
      <c r="S526" s="64" t="s">
        <v>2818</v>
      </c>
      <c r="T526" s="64">
        <v>11917</v>
      </c>
      <c r="V526" s="67">
        <v>524</v>
      </c>
      <c r="W526" s="63" t="s">
        <v>56</v>
      </c>
      <c r="X526" s="64" t="s">
        <v>2435</v>
      </c>
      <c r="Y526" s="64">
        <v>10216</v>
      </c>
    </row>
    <row r="527" spans="7:25" ht="26" x14ac:dyDescent="0.35">
      <c r="G527" s="67">
        <v>525</v>
      </c>
      <c r="H527" s="67" t="s">
        <v>2871</v>
      </c>
      <c r="I527" s="80" t="s">
        <v>2897</v>
      </c>
      <c r="J527" s="75">
        <v>11998</v>
      </c>
      <c r="L527" s="40">
        <v>525</v>
      </c>
      <c r="M527" s="81" t="s">
        <v>56</v>
      </c>
      <c r="N527" s="84" t="s">
        <v>3004</v>
      </c>
      <c r="O527" s="82">
        <v>12081</v>
      </c>
      <c r="Q527" s="40">
        <v>525</v>
      </c>
      <c r="R527" s="67" t="s">
        <v>2803</v>
      </c>
      <c r="S527" s="64" t="s">
        <v>2840</v>
      </c>
      <c r="T527" s="64">
        <v>11939</v>
      </c>
      <c r="V527" s="67">
        <v>525</v>
      </c>
      <c r="W527" s="63" t="s">
        <v>56</v>
      </c>
      <c r="X527" s="64" t="s">
        <v>2436</v>
      </c>
      <c r="Y527" s="64">
        <v>2940</v>
      </c>
    </row>
    <row r="528" spans="7:25" ht="26" x14ac:dyDescent="0.35">
      <c r="G528" s="67">
        <v>526</v>
      </c>
      <c r="H528" s="63" t="s">
        <v>2871</v>
      </c>
      <c r="I528" s="64" t="s">
        <v>482</v>
      </c>
      <c r="J528" s="64">
        <v>11060</v>
      </c>
      <c r="Q528" s="40">
        <v>526</v>
      </c>
      <c r="R528" s="67" t="s">
        <v>2803</v>
      </c>
      <c r="S528" s="64" t="s">
        <v>2841</v>
      </c>
      <c r="T528" s="64">
        <v>11940</v>
      </c>
      <c r="V528" s="67">
        <v>526</v>
      </c>
      <c r="W528" s="63" t="s">
        <v>56</v>
      </c>
      <c r="X528" s="64" t="s">
        <v>2437</v>
      </c>
      <c r="Y528" s="64">
        <v>10304</v>
      </c>
    </row>
    <row r="529" spans="7:25" ht="26" x14ac:dyDescent="0.35">
      <c r="G529" s="67">
        <v>527</v>
      </c>
      <c r="H529" s="63" t="s">
        <v>2871</v>
      </c>
      <c r="I529" s="64" t="s">
        <v>513</v>
      </c>
      <c r="J529" s="64">
        <v>11078</v>
      </c>
      <c r="Q529" s="40">
        <v>527</v>
      </c>
      <c r="R529" s="67" t="s">
        <v>2803</v>
      </c>
      <c r="S529" s="64" t="s">
        <v>2842</v>
      </c>
      <c r="T529" s="64">
        <v>11941</v>
      </c>
      <c r="V529" s="67">
        <v>527</v>
      </c>
      <c r="W529" s="63" t="s">
        <v>56</v>
      </c>
      <c r="X529" s="64" t="s">
        <v>2438</v>
      </c>
      <c r="Y529" s="64">
        <v>10363</v>
      </c>
    </row>
    <row r="530" spans="7:25" ht="26" x14ac:dyDescent="0.35">
      <c r="G530" s="67">
        <v>528</v>
      </c>
      <c r="H530" s="63" t="s">
        <v>2867</v>
      </c>
      <c r="I530" s="64" t="s">
        <v>1096</v>
      </c>
      <c r="J530" s="64">
        <v>10681</v>
      </c>
      <c r="Q530" s="40">
        <v>528</v>
      </c>
      <c r="R530" s="67" t="s">
        <v>2803</v>
      </c>
      <c r="S530" s="64" t="s">
        <v>2843</v>
      </c>
      <c r="T530" s="64">
        <v>11942</v>
      </c>
      <c r="V530" s="67">
        <v>528</v>
      </c>
      <c r="W530" s="63" t="s">
        <v>56</v>
      </c>
      <c r="X530" s="64" t="s">
        <v>2439</v>
      </c>
      <c r="Y530" s="64">
        <v>8300</v>
      </c>
    </row>
    <row r="531" spans="7:25" ht="26" x14ac:dyDescent="0.35">
      <c r="G531" s="67">
        <v>529</v>
      </c>
      <c r="H531" s="63" t="s">
        <v>2867</v>
      </c>
      <c r="I531" s="64" t="s">
        <v>355</v>
      </c>
      <c r="J531" s="64">
        <v>11008</v>
      </c>
      <c r="Q531" s="40">
        <v>529</v>
      </c>
      <c r="R531" s="67" t="s">
        <v>2803</v>
      </c>
      <c r="S531" s="64" t="s">
        <v>2816</v>
      </c>
      <c r="T531" s="64">
        <v>11915</v>
      </c>
      <c r="V531" s="67">
        <v>529</v>
      </c>
      <c r="W531" s="63" t="s">
        <v>56</v>
      </c>
      <c r="X531" s="64" t="s">
        <v>2440</v>
      </c>
      <c r="Y531" s="64">
        <v>10369</v>
      </c>
    </row>
    <row r="532" spans="7:25" ht="26" x14ac:dyDescent="0.35">
      <c r="G532" s="67">
        <v>530</v>
      </c>
      <c r="H532" s="63" t="s">
        <v>2867</v>
      </c>
      <c r="I532" s="64" t="s">
        <v>784</v>
      </c>
      <c r="J532" s="64">
        <v>10888</v>
      </c>
      <c r="Q532" s="40">
        <v>530</v>
      </c>
      <c r="R532" s="67" t="s">
        <v>2803</v>
      </c>
      <c r="S532" s="64" t="s">
        <v>2820</v>
      </c>
      <c r="T532" s="64">
        <v>11919</v>
      </c>
      <c r="V532" s="67">
        <v>530</v>
      </c>
      <c r="W532" s="63" t="s">
        <v>56</v>
      </c>
      <c r="X532" s="64" t="s">
        <v>2441</v>
      </c>
      <c r="Y532" s="64">
        <v>10154</v>
      </c>
    </row>
    <row r="533" spans="7:25" ht="26" x14ac:dyDescent="0.35">
      <c r="G533" s="67">
        <v>531</v>
      </c>
      <c r="H533" s="63" t="s">
        <v>2857</v>
      </c>
      <c r="I533" s="64" t="s">
        <v>96</v>
      </c>
      <c r="J533" s="64">
        <v>10923</v>
      </c>
      <c r="Q533" s="40">
        <v>531</v>
      </c>
      <c r="R533" s="67" t="s">
        <v>2803</v>
      </c>
      <c r="S533" s="64" t="s">
        <v>2849</v>
      </c>
      <c r="T533" s="64">
        <v>11948</v>
      </c>
      <c r="V533" s="67">
        <v>531</v>
      </c>
      <c r="W533" s="63" t="s">
        <v>56</v>
      </c>
      <c r="X533" s="64" t="s">
        <v>2442</v>
      </c>
      <c r="Y533" s="64">
        <v>2941</v>
      </c>
    </row>
    <row r="534" spans="7:25" ht="39" x14ac:dyDescent="0.35">
      <c r="G534" s="67">
        <v>532</v>
      </c>
      <c r="H534" s="63" t="s">
        <v>2857</v>
      </c>
      <c r="I534" s="64" t="s">
        <v>1078</v>
      </c>
      <c r="J534" s="64">
        <v>10672</v>
      </c>
      <c r="Q534" s="40">
        <v>532</v>
      </c>
      <c r="R534" s="67" t="s">
        <v>2803</v>
      </c>
      <c r="S534" s="64" t="s">
        <v>1098</v>
      </c>
      <c r="T534" s="64">
        <v>11949</v>
      </c>
      <c r="V534" s="67">
        <v>532</v>
      </c>
      <c r="W534" s="63" t="s">
        <v>56</v>
      </c>
      <c r="X534" s="64" t="s">
        <v>2443</v>
      </c>
      <c r="Y534" s="64">
        <v>11253</v>
      </c>
    </row>
    <row r="535" spans="7:25" x14ac:dyDescent="0.35">
      <c r="G535" s="67">
        <v>533</v>
      </c>
      <c r="H535" s="63" t="s">
        <v>2857</v>
      </c>
      <c r="I535" s="64" t="s">
        <v>128</v>
      </c>
      <c r="J535" s="64">
        <v>10931</v>
      </c>
      <c r="Q535" s="40">
        <v>533</v>
      </c>
      <c r="R535" s="63" t="s">
        <v>2871</v>
      </c>
      <c r="S535" s="64" t="s">
        <v>2901</v>
      </c>
      <c r="T535" s="64">
        <v>12002</v>
      </c>
      <c r="V535" s="67">
        <v>533</v>
      </c>
      <c r="W535" s="63" t="s">
        <v>56</v>
      </c>
      <c r="X535" s="64" t="s">
        <v>2444</v>
      </c>
      <c r="Y535" s="64">
        <v>2942</v>
      </c>
    </row>
    <row r="536" spans="7:25" x14ac:dyDescent="0.35">
      <c r="G536" s="67">
        <v>534</v>
      </c>
      <c r="H536" s="63" t="s">
        <v>2857</v>
      </c>
      <c r="I536" s="64" t="s">
        <v>188</v>
      </c>
      <c r="J536" s="64">
        <v>10948</v>
      </c>
      <c r="Q536" s="40">
        <v>534</v>
      </c>
      <c r="R536" s="63" t="s">
        <v>2871</v>
      </c>
      <c r="S536" s="64" t="s">
        <v>225</v>
      </c>
      <c r="T536" s="64">
        <v>2119</v>
      </c>
      <c r="V536" s="67">
        <v>534</v>
      </c>
      <c r="W536" s="63" t="s">
        <v>56</v>
      </c>
      <c r="X536" s="64" t="s">
        <v>2449</v>
      </c>
      <c r="Y536" s="64">
        <v>8268</v>
      </c>
    </row>
    <row r="537" spans="7:25" x14ac:dyDescent="0.35">
      <c r="G537" s="67">
        <v>535</v>
      </c>
      <c r="H537" s="63" t="s">
        <v>2857</v>
      </c>
      <c r="I537" s="64" t="s">
        <v>211</v>
      </c>
      <c r="J537" s="64">
        <v>10956</v>
      </c>
      <c r="Q537" s="40">
        <v>535</v>
      </c>
      <c r="R537" s="63" t="s">
        <v>2871</v>
      </c>
      <c r="S537" s="64" t="s">
        <v>2900</v>
      </c>
      <c r="T537" s="64">
        <v>12001</v>
      </c>
      <c r="V537" s="67">
        <v>535</v>
      </c>
      <c r="W537" s="63" t="s">
        <v>56</v>
      </c>
      <c r="X537" s="64" t="s">
        <v>2445</v>
      </c>
      <c r="Y537" s="64">
        <v>10364</v>
      </c>
    </row>
    <row r="538" spans="7:25" x14ac:dyDescent="0.35">
      <c r="G538" s="67">
        <v>536</v>
      </c>
      <c r="H538" s="63" t="s">
        <v>2857</v>
      </c>
      <c r="I538" s="64" t="s">
        <v>235</v>
      </c>
      <c r="J538" s="64">
        <v>10965</v>
      </c>
      <c r="Q538" s="40">
        <v>536</v>
      </c>
      <c r="R538" s="63" t="s">
        <v>2871</v>
      </c>
      <c r="S538" s="64" t="s">
        <v>261</v>
      </c>
      <c r="T538" s="64">
        <v>2143</v>
      </c>
      <c r="V538" s="67">
        <v>536</v>
      </c>
      <c r="W538" s="63" t="s">
        <v>56</v>
      </c>
      <c r="X538" s="64" t="s">
        <v>2446</v>
      </c>
      <c r="Y538" s="64">
        <v>10365</v>
      </c>
    </row>
    <row r="539" spans="7:25" x14ac:dyDescent="0.35">
      <c r="G539" s="67">
        <v>537</v>
      </c>
      <c r="H539" s="63" t="s">
        <v>2857</v>
      </c>
      <c r="I539" s="64" t="s">
        <v>244</v>
      </c>
      <c r="J539" s="64">
        <v>10968</v>
      </c>
      <c r="Q539" s="40">
        <v>537</v>
      </c>
      <c r="R539" s="67" t="s">
        <v>2871</v>
      </c>
      <c r="S539" s="64" t="s">
        <v>2766</v>
      </c>
      <c r="T539" s="64">
        <v>11881</v>
      </c>
      <c r="V539" s="67">
        <v>537</v>
      </c>
      <c r="W539" s="63" t="s">
        <v>56</v>
      </c>
      <c r="X539" s="64" t="s">
        <v>2447</v>
      </c>
      <c r="Y539" s="64">
        <v>10366</v>
      </c>
    </row>
    <row r="540" spans="7:25" ht="26" x14ac:dyDescent="0.35">
      <c r="G540" s="67">
        <v>538</v>
      </c>
      <c r="H540" s="63" t="s">
        <v>2857</v>
      </c>
      <c r="I540" s="64" t="s">
        <v>1116</v>
      </c>
      <c r="J540" s="64">
        <v>10692</v>
      </c>
      <c r="Q540" s="40">
        <v>538</v>
      </c>
      <c r="R540" s="63" t="s">
        <v>2871</v>
      </c>
      <c r="S540" s="64" t="s">
        <v>345</v>
      </c>
      <c r="T540" s="64">
        <v>2182</v>
      </c>
      <c r="V540" s="67">
        <v>538</v>
      </c>
      <c r="W540" s="63" t="s">
        <v>56</v>
      </c>
      <c r="X540" s="64" t="s">
        <v>2448</v>
      </c>
      <c r="Y540" s="64">
        <v>8257</v>
      </c>
    </row>
    <row r="541" spans="7:25" x14ac:dyDescent="0.35">
      <c r="G541" s="67">
        <v>539</v>
      </c>
      <c r="H541" s="63" t="s">
        <v>2857</v>
      </c>
      <c r="I541" s="64" t="s">
        <v>268</v>
      </c>
      <c r="J541" s="64">
        <v>10976</v>
      </c>
      <c r="Q541" s="40">
        <v>539</v>
      </c>
      <c r="R541" s="63" t="s">
        <v>2871</v>
      </c>
      <c r="S541" s="64" t="s">
        <v>383</v>
      </c>
      <c r="T541" s="64">
        <v>2460</v>
      </c>
      <c r="V541" s="67">
        <v>539</v>
      </c>
      <c r="W541" s="63" t="s">
        <v>56</v>
      </c>
      <c r="X541" s="64" t="s">
        <v>2450</v>
      </c>
      <c r="Y541" s="64">
        <v>8172</v>
      </c>
    </row>
    <row r="542" spans="7:25" x14ac:dyDescent="0.35">
      <c r="G542" s="67">
        <v>540</v>
      </c>
      <c r="H542" s="63" t="s">
        <v>2857</v>
      </c>
      <c r="I542" s="64" t="s">
        <v>2152</v>
      </c>
      <c r="J542" s="64">
        <v>11752</v>
      </c>
      <c r="Q542" s="40">
        <v>540</v>
      </c>
      <c r="R542" s="63" t="s">
        <v>2871</v>
      </c>
      <c r="S542" s="64" t="s">
        <v>1101</v>
      </c>
      <c r="T542" s="64">
        <v>10684</v>
      </c>
      <c r="V542" s="67">
        <v>540</v>
      </c>
      <c r="W542" s="63" t="s">
        <v>56</v>
      </c>
      <c r="X542" s="64" t="s">
        <v>2451</v>
      </c>
      <c r="Y542" s="64">
        <v>3425</v>
      </c>
    </row>
    <row r="543" spans="7:25" x14ac:dyDescent="0.35">
      <c r="G543" s="67">
        <v>541</v>
      </c>
      <c r="H543" s="63" t="s">
        <v>2857</v>
      </c>
      <c r="I543" s="64" t="s">
        <v>2546</v>
      </c>
      <c r="J543" s="64">
        <v>11751</v>
      </c>
      <c r="Q543" s="40">
        <v>541</v>
      </c>
      <c r="R543" s="63" t="s">
        <v>2871</v>
      </c>
      <c r="S543" s="64" t="s">
        <v>2873</v>
      </c>
      <c r="T543" s="64">
        <v>11955</v>
      </c>
      <c r="V543" s="67">
        <v>541</v>
      </c>
      <c r="W543" s="63" t="s">
        <v>56</v>
      </c>
      <c r="X543" s="64" t="s">
        <v>2184</v>
      </c>
      <c r="Y543" s="64">
        <v>2943</v>
      </c>
    </row>
    <row r="544" spans="7:25" x14ac:dyDescent="0.35">
      <c r="G544" s="67">
        <v>542</v>
      </c>
      <c r="H544" s="63" t="s">
        <v>2857</v>
      </c>
      <c r="I544" s="64" t="s">
        <v>393</v>
      </c>
      <c r="J544" s="64">
        <v>11022</v>
      </c>
      <c r="Q544" s="40">
        <v>542</v>
      </c>
      <c r="R544" s="63" t="s">
        <v>2871</v>
      </c>
      <c r="S544" s="64" t="s">
        <v>2896</v>
      </c>
      <c r="T544" s="64">
        <v>2602</v>
      </c>
      <c r="V544" s="67">
        <v>542</v>
      </c>
      <c r="W544" s="63" t="s">
        <v>56</v>
      </c>
      <c r="X544" s="64" t="s">
        <v>2185</v>
      </c>
      <c r="Y544" s="64">
        <v>2944</v>
      </c>
    </row>
    <row r="545" spans="7:25" x14ac:dyDescent="0.35">
      <c r="G545" s="67">
        <v>543</v>
      </c>
      <c r="H545" s="63" t="s">
        <v>2857</v>
      </c>
      <c r="I545" s="64" t="s">
        <v>395</v>
      </c>
      <c r="J545" s="64">
        <v>11023</v>
      </c>
      <c r="Q545" s="40">
        <v>543</v>
      </c>
      <c r="R545" s="63" t="s">
        <v>2871</v>
      </c>
      <c r="S545" s="64" t="s">
        <v>604</v>
      </c>
      <c r="T545" s="64">
        <v>8082</v>
      </c>
      <c r="V545" s="67">
        <v>543</v>
      </c>
      <c r="W545" s="63" t="s">
        <v>56</v>
      </c>
      <c r="X545" s="64" t="s">
        <v>2452</v>
      </c>
      <c r="Y545" s="64">
        <v>3426</v>
      </c>
    </row>
    <row r="546" spans="7:25" x14ac:dyDescent="0.35">
      <c r="G546" s="67">
        <v>544</v>
      </c>
      <c r="H546" s="63" t="s">
        <v>2857</v>
      </c>
      <c r="I546" s="64" t="s">
        <v>1145</v>
      </c>
      <c r="J546" s="64">
        <v>10705</v>
      </c>
      <c r="Q546" s="40">
        <v>544</v>
      </c>
      <c r="R546" s="67" t="s">
        <v>2871</v>
      </c>
      <c r="S546" s="64" t="s">
        <v>1663</v>
      </c>
      <c r="T546" s="64">
        <v>11669</v>
      </c>
      <c r="V546" s="67">
        <v>544</v>
      </c>
      <c r="W546" s="63" t="s">
        <v>56</v>
      </c>
      <c r="X546" s="64" t="s">
        <v>2453</v>
      </c>
      <c r="Y546" s="64">
        <v>3427</v>
      </c>
    </row>
    <row r="547" spans="7:25" x14ac:dyDescent="0.35">
      <c r="G547" s="67">
        <v>545</v>
      </c>
      <c r="H547" s="63" t="s">
        <v>2857</v>
      </c>
      <c r="I547" s="64" t="s">
        <v>2462</v>
      </c>
      <c r="J547" s="64">
        <v>12006</v>
      </c>
      <c r="Q547" s="40">
        <v>545</v>
      </c>
      <c r="R547" s="63" t="s">
        <v>2871</v>
      </c>
      <c r="S547" s="64" t="s">
        <v>2904</v>
      </c>
      <c r="T547" s="64">
        <v>12005</v>
      </c>
      <c r="V547" s="67">
        <v>545</v>
      </c>
      <c r="W547" s="63" t="s">
        <v>56</v>
      </c>
      <c r="X547" s="64" t="s">
        <v>2454</v>
      </c>
      <c r="Y547" s="64">
        <v>3428</v>
      </c>
    </row>
    <row r="548" spans="7:25" x14ac:dyDescent="0.35">
      <c r="G548" s="67">
        <v>546</v>
      </c>
      <c r="H548" s="63" t="s">
        <v>2857</v>
      </c>
      <c r="I548" s="64" t="s">
        <v>496</v>
      </c>
      <c r="J548" s="64">
        <v>11069</v>
      </c>
      <c r="Q548" s="40">
        <v>546</v>
      </c>
      <c r="R548" s="63" t="s">
        <v>2871</v>
      </c>
      <c r="S548" s="64" t="s">
        <v>2898</v>
      </c>
      <c r="T548" s="64">
        <v>11999</v>
      </c>
      <c r="V548" s="67">
        <v>546</v>
      </c>
      <c r="W548" s="63" t="s">
        <v>56</v>
      </c>
      <c r="X548" s="64" t="s">
        <v>2077</v>
      </c>
      <c r="Y548" s="64">
        <v>3061</v>
      </c>
    </row>
    <row r="549" spans="7:25" ht="26" x14ac:dyDescent="0.35">
      <c r="G549" s="67">
        <v>547</v>
      </c>
      <c r="H549" s="63" t="s">
        <v>2857</v>
      </c>
      <c r="I549" s="64" t="s">
        <v>506</v>
      </c>
      <c r="J549" s="64">
        <v>11074</v>
      </c>
      <c r="Q549" s="40">
        <v>547</v>
      </c>
      <c r="R549" s="67" t="s">
        <v>2871</v>
      </c>
      <c r="S549" s="64" t="s">
        <v>2872</v>
      </c>
      <c r="T549" s="64">
        <v>11977</v>
      </c>
      <c r="V549" s="67">
        <v>547</v>
      </c>
      <c r="W549" s="63" t="s">
        <v>56</v>
      </c>
      <c r="X549" s="64" t="s">
        <v>2456</v>
      </c>
      <c r="Y549" s="64">
        <v>8188</v>
      </c>
    </row>
    <row r="550" spans="7:25" x14ac:dyDescent="0.35">
      <c r="G550" s="67">
        <v>548</v>
      </c>
      <c r="H550" s="63" t="s">
        <v>2857</v>
      </c>
      <c r="I550" s="64" t="s">
        <v>533</v>
      </c>
      <c r="J550" s="64">
        <v>11089</v>
      </c>
      <c r="Q550" s="40">
        <v>548</v>
      </c>
      <c r="R550" s="63" t="s">
        <v>2871</v>
      </c>
      <c r="S550" s="64" t="s">
        <v>2899</v>
      </c>
      <c r="T550" s="64">
        <v>12000</v>
      </c>
      <c r="V550" s="67">
        <v>548</v>
      </c>
      <c r="W550" s="63" t="s">
        <v>56</v>
      </c>
      <c r="X550" s="64" t="s">
        <v>2186</v>
      </c>
      <c r="Y550" s="64">
        <v>2453</v>
      </c>
    </row>
    <row r="551" spans="7:25" ht="39" x14ac:dyDescent="0.35">
      <c r="G551" s="67">
        <v>549</v>
      </c>
      <c r="H551" s="63" t="s">
        <v>440</v>
      </c>
      <c r="I551" s="80" t="s">
        <v>3003</v>
      </c>
      <c r="J551" s="64">
        <v>12080</v>
      </c>
      <c r="Q551" s="40">
        <v>549</v>
      </c>
      <c r="R551" s="63" t="s">
        <v>2871</v>
      </c>
      <c r="S551" s="64" t="s">
        <v>774</v>
      </c>
      <c r="T551" s="64">
        <v>2398</v>
      </c>
      <c r="V551" s="67">
        <v>549</v>
      </c>
      <c r="W551" s="63" t="s">
        <v>56</v>
      </c>
      <c r="X551" s="64" t="s">
        <v>2457</v>
      </c>
      <c r="Y551" s="64">
        <v>2454</v>
      </c>
    </row>
    <row r="552" spans="7:25" x14ac:dyDescent="0.35">
      <c r="Q552" s="40">
        <v>550</v>
      </c>
      <c r="R552" s="63" t="s">
        <v>2871</v>
      </c>
      <c r="S552" s="64" t="s">
        <v>819</v>
      </c>
      <c r="T552" s="64">
        <v>10026</v>
      </c>
      <c r="V552" s="67">
        <v>550</v>
      </c>
      <c r="W552" s="63" t="s">
        <v>56</v>
      </c>
      <c r="X552" s="64" t="s">
        <v>2187</v>
      </c>
      <c r="Y552" s="64">
        <v>2947</v>
      </c>
    </row>
    <row r="553" spans="7:25" x14ac:dyDescent="0.35">
      <c r="Q553" s="40">
        <v>551</v>
      </c>
      <c r="R553" s="63" t="s">
        <v>2871</v>
      </c>
      <c r="S553" s="64" t="s">
        <v>2902</v>
      </c>
      <c r="T553" s="64">
        <v>12003</v>
      </c>
      <c r="V553" s="67">
        <v>551</v>
      </c>
      <c r="W553" s="63" t="s">
        <v>56</v>
      </c>
      <c r="X553" s="64" t="s">
        <v>2307</v>
      </c>
      <c r="Y553" s="64">
        <v>2948</v>
      </c>
    </row>
    <row r="554" spans="7:25" x14ac:dyDescent="0.35">
      <c r="Q554" s="40">
        <v>552</v>
      </c>
      <c r="R554" s="63" t="s">
        <v>2871</v>
      </c>
      <c r="S554" s="64" t="s">
        <v>2903</v>
      </c>
      <c r="T554" s="64">
        <v>12004</v>
      </c>
      <c r="V554" s="67">
        <v>552</v>
      </c>
      <c r="W554" s="63" t="s">
        <v>56</v>
      </c>
      <c r="X554" s="64" t="s">
        <v>2458</v>
      </c>
      <c r="Y554" s="64">
        <v>10613</v>
      </c>
    </row>
    <row r="555" spans="7:25" x14ac:dyDescent="0.35">
      <c r="Q555" s="40">
        <v>553</v>
      </c>
      <c r="R555" s="63" t="s">
        <v>2871</v>
      </c>
      <c r="S555" s="64" t="s">
        <v>1019</v>
      </c>
      <c r="T555" s="64">
        <v>2412</v>
      </c>
      <c r="V555" s="67">
        <v>553</v>
      </c>
      <c r="W555" s="63" t="s">
        <v>56</v>
      </c>
      <c r="X555" s="64" t="s">
        <v>2526</v>
      </c>
      <c r="Y555" s="64">
        <v>10223</v>
      </c>
    </row>
    <row r="556" spans="7:25" x14ac:dyDescent="0.35">
      <c r="Q556" s="40">
        <v>554</v>
      </c>
      <c r="R556" s="63" t="s">
        <v>2867</v>
      </c>
      <c r="S556" s="64" t="s">
        <v>252</v>
      </c>
      <c r="T556" s="64">
        <v>10056</v>
      </c>
      <c r="V556" s="67">
        <v>554</v>
      </c>
      <c r="W556" s="63" t="s">
        <v>56</v>
      </c>
      <c r="X556" s="64" t="s">
        <v>2459</v>
      </c>
      <c r="Y556" s="64">
        <v>3430</v>
      </c>
    </row>
    <row r="557" spans="7:25" x14ac:dyDescent="0.35">
      <c r="Q557" s="40">
        <v>555</v>
      </c>
      <c r="R557" s="63" t="s">
        <v>2867</v>
      </c>
      <c r="S557" s="64" t="s">
        <v>467</v>
      </c>
      <c r="T557" s="64">
        <v>10054</v>
      </c>
      <c r="V557" s="67">
        <v>555</v>
      </c>
      <c r="W557" s="63" t="s">
        <v>56</v>
      </c>
      <c r="X557" s="64" t="s">
        <v>2460</v>
      </c>
      <c r="Y557" s="64">
        <v>3431</v>
      </c>
    </row>
    <row r="558" spans="7:25" x14ac:dyDescent="0.35">
      <c r="Q558" s="40">
        <v>556</v>
      </c>
      <c r="R558" s="63" t="s">
        <v>2867</v>
      </c>
      <c r="S558" s="64" t="s">
        <v>560</v>
      </c>
      <c r="T558" s="64">
        <v>10061</v>
      </c>
      <c r="V558" s="67">
        <v>556</v>
      </c>
      <c r="W558" s="63" t="s">
        <v>56</v>
      </c>
      <c r="X558" s="64" t="s">
        <v>2461</v>
      </c>
      <c r="Y558" s="64">
        <v>2950</v>
      </c>
    </row>
    <row r="559" spans="7:25" x14ac:dyDescent="0.35">
      <c r="Q559" s="40">
        <v>557</v>
      </c>
      <c r="R559" s="63" t="s">
        <v>2857</v>
      </c>
      <c r="S559" s="64" t="s">
        <v>581</v>
      </c>
      <c r="T559" s="64">
        <v>8026</v>
      </c>
      <c r="V559" s="67">
        <v>557</v>
      </c>
      <c r="W559" s="63" t="s">
        <v>56</v>
      </c>
      <c r="X559" s="64" t="s">
        <v>2463</v>
      </c>
      <c r="Y559" s="64">
        <v>10598</v>
      </c>
    </row>
    <row r="560" spans="7:25" x14ac:dyDescent="0.35">
      <c r="Q560" s="40">
        <v>558</v>
      </c>
      <c r="R560" s="63" t="s">
        <v>2857</v>
      </c>
      <c r="S560" s="64" t="s">
        <v>878</v>
      </c>
      <c r="T560" s="64">
        <v>2526</v>
      </c>
      <c r="V560" s="67">
        <v>558</v>
      </c>
      <c r="W560" s="63" t="s">
        <v>56</v>
      </c>
      <c r="X560" s="64" t="s">
        <v>1189</v>
      </c>
      <c r="Y560" s="64">
        <v>2951</v>
      </c>
    </row>
    <row r="561" spans="17:25" x14ac:dyDescent="0.35">
      <c r="Q561" s="40">
        <v>559</v>
      </c>
      <c r="R561" s="63" t="s">
        <v>2857</v>
      </c>
      <c r="S561" s="64" t="s">
        <v>899</v>
      </c>
      <c r="T561" s="64">
        <v>3487</v>
      </c>
      <c r="V561" s="67">
        <v>559</v>
      </c>
      <c r="W561" s="63" t="s">
        <v>56</v>
      </c>
      <c r="X561" s="64" t="s">
        <v>2464</v>
      </c>
      <c r="Y561" s="64">
        <v>2952</v>
      </c>
    </row>
    <row r="562" spans="17:25" x14ac:dyDescent="0.35">
      <c r="Q562" s="40">
        <v>560</v>
      </c>
      <c r="R562" s="63" t="s">
        <v>2857</v>
      </c>
      <c r="S562" s="64" t="s">
        <v>1105</v>
      </c>
      <c r="T562" s="64">
        <v>2646</v>
      </c>
      <c r="V562" s="67">
        <v>560</v>
      </c>
      <c r="W562" s="63" t="s">
        <v>56</v>
      </c>
      <c r="X562" s="64" t="s">
        <v>2465</v>
      </c>
      <c r="Y562" s="64">
        <v>10123</v>
      </c>
    </row>
    <row r="563" spans="17:25" x14ac:dyDescent="0.35">
      <c r="Q563" s="33"/>
      <c r="V563" s="67">
        <v>561</v>
      </c>
      <c r="W563" s="63" t="s">
        <v>56</v>
      </c>
      <c r="X563" s="64" t="s">
        <v>2466</v>
      </c>
      <c r="Y563" s="64">
        <v>10371</v>
      </c>
    </row>
    <row r="564" spans="17:25" x14ac:dyDescent="0.35">
      <c r="V564" s="67">
        <v>562</v>
      </c>
      <c r="W564" s="63" t="s">
        <v>56</v>
      </c>
      <c r="X564" s="64" t="s">
        <v>2111</v>
      </c>
      <c r="Y564" s="64">
        <v>8334</v>
      </c>
    </row>
    <row r="565" spans="17:25" x14ac:dyDescent="0.35">
      <c r="V565" s="67">
        <v>563</v>
      </c>
      <c r="W565" s="63" t="s">
        <v>56</v>
      </c>
      <c r="X565" s="64" t="s">
        <v>2467</v>
      </c>
      <c r="Y565" s="64">
        <v>3432</v>
      </c>
    </row>
    <row r="566" spans="17:25" x14ac:dyDescent="0.35">
      <c r="V566" s="67">
        <v>564</v>
      </c>
      <c r="W566" s="63" t="s">
        <v>56</v>
      </c>
      <c r="X566" s="64" t="s">
        <v>1190</v>
      </c>
      <c r="Y566" s="64">
        <v>2461</v>
      </c>
    </row>
    <row r="567" spans="17:25" x14ac:dyDescent="0.35">
      <c r="V567" s="67">
        <v>565</v>
      </c>
      <c r="W567" s="63" t="s">
        <v>56</v>
      </c>
      <c r="X567" s="64" t="s">
        <v>2468</v>
      </c>
      <c r="Y567" s="64">
        <v>8161</v>
      </c>
    </row>
    <row r="568" spans="17:25" x14ac:dyDescent="0.35">
      <c r="V568" s="67">
        <v>566</v>
      </c>
      <c r="W568" s="63" t="s">
        <v>56</v>
      </c>
      <c r="X568" s="64" t="s">
        <v>2188</v>
      </c>
      <c r="Y568" s="64">
        <v>2955</v>
      </c>
    </row>
    <row r="569" spans="17:25" x14ac:dyDescent="0.35">
      <c r="V569" s="67">
        <v>567</v>
      </c>
      <c r="W569" s="63" t="s">
        <v>56</v>
      </c>
      <c r="X569" s="64" t="s">
        <v>2470</v>
      </c>
      <c r="Y569" s="64">
        <v>8256</v>
      </c>
    </row>
    <row r="570" spans="17:25" x14ac:dyDescent="0.35">
      <c r="V570" s="67">
        <v>568</v>
      </c>
      <c r="W570" s="63" t="s">
        <v>56</v>
      </c>
      <c r="X570" s="64" t="s">
        <v>2469</v>
      </c>
      <c r="Y570" s="64">
        <v>8239</v>
      </c>
    </row>
    <row r="571" spans="17:25" ht="26" x14ac:dyDescent="0.35">
      <c r="V571" s="67">
        <v>569</v>
      </c>
      <c r="W571" s="63" t="s">
        <v>56</v>
      </c>
      <c r="X571" s="64" t="s">
        <v>2471</v>
      </c>
      <c r="Y571" s="64">
        <v>3434</v>
      </c>
    </row>
    <row r="572" spans="17:25" x14ac:dyDescent="0.35">
      <c r="V572" s="67">
        <v>570</v>
      </c>
      <c r="W572" s="63" t="s">
        <v>56</v>
      </c>
      <c r="X572" s="64" t="s">
        <v>2472</v>
      </c>
      <c r="Y572" s="64">
        <v>3435</v>
      </c>
    </row>
    <row r="573" spans="17:25" x14ac:dyDescent="0.35">
      <c r="V573" s="67">
        <v>571</v>
      </c>
      <c r="W573" s="63" t="s">
        <v>56</v>
      </c>
      <c r="X573" s="64" t="s">
        <v>2189</v>
      </c>
      <c r="Y573" s="64">
        <v>2957</v>
      </c>
    </row>
    <row r="574" spans="17:25" x14ac:dyDescent="0.35">
      <c r="V574" s="67">
        <v>572</v>
      </c>
      <c r="W574" s="63" t="s">
        <v>56</v>
      </c>
      <c r="X574" s="64" t="s">
        <v>2190</v>
      </c>
      <c r="Y574" s="64">
        <v>2960</v>
      </c>
    </row>
    <row r="575" spans="17:25" x14ac:dyDescent="0.35">
      <c r="V575" s="67">
        <v>573</v>
      </c>
      <c r="W575" s="63" t="s">
        <v>56</v>
      </c>
      <c r="X575" s="64" t="s">
        <v>2475</v>
      </c>
      <c r="Y575" s="64">
        <v>2959</v>
      </c>
    </row>
    <row r="576" spans="17:25" x14ac:dyDescent="0.35">
      <c r="V576" s="67">
        <v>574</v>
      </c>
      <c r="W576" s="63" t="s">
        <v>56</v>
      </c>
      <c r="X576" s="64" t="s">
        <v>2476</v>
      </c>
      <c r="Y576" s="64">
        <v>3436</v>
      </c>
    </row>
    <row r="577" spans="22:25" x14ac:dyDescent="0.35">
      <c r="V577" s="67">
        <v>575</v>
      </c>
      <c r="W577" s="63" t="s">
        <v>56</v>
      </c>
      <c r="X577" s="64" t="s">
        <v>792</v>
      </c>
      <c r="Y577" s="64">
        <v>8252</v>
      </c>
    </row>
    <row r="578" spans="22:25" x14ac:dyDescent="0.35">
      <c r="V578" s="67">
        <v>576</v>
      </c>
      <c r="W578" s="63" t="s">
        <v>56</v>
      </c>
      <c r="X578" s="64" t="s">
        <v>1191</v>
      </c>
      <c r="Y578" s="64">
        <v>10305</v>
      </c>
    </row>
    <row r="579" spans="22:25" x14ac:dyDescent="0.35">
      <c r="V579" s="67">
        <v>577</v>
      </c>
      <c r="W579" s="63" t="s">
        <v>56</v>
      </c>
      <c r="X579" s="64" t="s">
        <v>2477</v>
      </c>
      <c r="Y579" s="64">
        <v>2964</v>
      </c>
    </row>
    <row r="580" spans="22:25" x14ac:dyDescent="0.35">
      <c r="V580" s="67">
        <v>578</v>
      </c>
      <c r="W580" s="63" t="s">
        <v>56</v>
      </c>
      <c r="X580" s="64" t="s">
        <v>1192</v>
      </c>
      <c r="Y580" s="64">
        <v>2965</v>
      </c>
    </row>
    <row r="581" spans="22:25" x14ac:dyDescent="0.35">
      <c r="V581" s="67">
        <v>579</v>
      </c>
      <c r="W581" s="63" t="s">
        <v>56</v>
      </c>
      <c r="X581" s="64" t="s">
        <v>2478</v>
      </c>
      <c r="Y581" s="64">
        <v>3437</v>
      </c>
    </row>
    <row r="582" spans="22:25" x14ac:dyDescent="0.35">
      <c r="V582" s="67">
        <v>580</v>
      </c>
      <c r="W582" s="63" t="s">
        <v>56</v>
      </c>
      <c r="X582" s="64" t="s">
        <v>2479</v>
      </c>
      <c r="Y582" s="64">
        <v>10607</v>
      </c>
    </row>
    <row r="583" spans="22:25" x14ac:dyDescent="0.35">
      <c r="V583" s="67">
        <v>581</v>
      </c>
      <c r="W583" s="63" t="s">
        <v>56</v>
      </c>
      <c r="X583" s="64" t="s">
        <v>2192</v>
      </c>
      <c r="Y583" s="64">
        <v>10306</v>
      </c>
    </row>
    <row r="584" spans="22:25" x14ac:dyDescent="0.35">
      <c r="V584" s="67">
        <v>582</v>
      </c>
      <c r="W584" s="63" t="s">
        <v>56</v>
      </c>
      <c r="X584" s="64" t="s">
        <v>2480</v>
      </c>
      <c r="Y584" s="64">
        <v>3438</v>
      </c>
    </row>
    <row r="585" spans="22:25" x14ac:dyDescent="0.35">
      <c r="V585" s="67">
        <v>583</v>
      </c>
      <c r="W585" s="63" t="s">
        <v>56</v>
      </c>
      <c r="X585" s="64" t="s">
        <v>2481</v>
      </c>
      <c r="Y585" s="64">
        <v>3439</v>
      </c>
    </row>
    <row r="586" spans="22:25" x14ac:dyDescent="0.35">
      <c r="V586" s="67">
        <v>584</v>
      </c>
      <c r="W586" s="63" t="s">
        <v>56</v>
      </c>
      <c r="X586" s="64" t="s">
        <v>2193</v>
      </c>
      <c r="Y586" s="64">
        <v>2967</v>
      </c>
    </row>
    <row r="587" spans="22:25" ht="26" x14ac:dyDescent="0.35">
      <c r="V587" s="67">
        <v>585</v>
      </c>
      <c r="W587" s="63" t="s">
        <v>56</v>
      </c>
      <c r="X587" s="64" t="s">
        <v>2482</v>
      </c>
      <c r="Y587" s="64">
        <v>3440</v>
      </c>
    </row>
    <row r="588" spans="22:25" x14ac:dyDescent="0.35">
      <c r="V588" s="67">
        <v>586</v>
      </c>
      <c r="W588" s="63" t="s">
        <v>56</v>
      </c>
      <c r="X588" s="64" t="s">
        <v>2483</v>
      </c>
      <c r="Y588" s="64">
        <v>8287</v>
      </c>
    </row>
    <row r="589" spans="22:25" x14ac:dyDescent="0.35">
      <c r="V589" s="67">
        <v>587</v>
      </c>
      <c r="W589" s="63" t="s">
        <v>56</v>
      </c>
      <c r="X589" s="64" t="s">
        <v>2485</v>
      </c>
      <c r="Y589" s="64">
        <v>3442</v>
      </c>
    </row>
    <row r="590" spans="22:25" x14ac:dyDescent="0.35">
      <c r="V590" s="67">
        <v>588</v>
      </c>
      <c r="W590" s="63" t="s">
        <v>56</v>
      </c>
      <c r="X590" s="64" t="s">
        <v>2525</v>
      </c>
      <c r="Y590" s="64">
        <v>8312</v>
      </c>
    </row>
    <row r="591" spans="22:25" x14ac:dyDescent="0.35">
      <c r="V591" s="67">
        <v>589</v>
      </c>
      <c r="W591" s="63" t="s">
        <v>56</v>
      </c>
      <c r="X591" s="64" t="s">
        <v>2194</v>
      </c>
      <c r="Y591" s="64">
        <v>2972</v>
      </c>
    </row>
    <row r="592" spans="22:25" x14ac:dyDescent="0.35">
      <c r="V592" s="67">
        <v>590</v>
      </c>
      <c r="W592" s="63" t="s">
        <v>56</v>
      </c>
      <c r="X592" s="64" t="s">
        <v>1745</v>
      </c>
      <c r="Y592" s="64">
        <v>10334</v>
      </c>
    </row>
    <row r="593" spans="22:25" x14ac:dyDescent="0.35">
      <c r="V593" s="67">
        <v>591</v>
      </c>
      <c r="W593" s="63" t="s">
        <v>56</v>
      </c>
      <c r="X593" s="64" t="s">
        <v>2195</v>
      </c>
      <c r="Y593" s="64">
        <v>2974</v>
      </c>
    </row>
    <row r="594" spans="22:25" x14ac:dyDescent="0.35">
      <c r="V594" s="67">
        <v>592</v>
      </c>
      <c r="W594" s="63" t="s">
        <v>56</v>
      </c>
      <c r="X594" s="64" t="s">
        <v>2486</v>
      </c>
      <c r="Y594" s="64">
        <v>8329</v>
      </c>
    </row>
    <row r="595" spans="22:25" x14ac:dyDescent="0.35">
      <c r="V595" s="67">
        <v>593</v>
      </c>
      <c r="W595" s="63" t="s">
        <v>56</v>
      </c>
      <c r="X595" s="64" t="s">
        <v>2487</v>
      </c>
      <c r="Y595" s="64">
        <v>2975</v>
      </c>
    </row>
    <row r="596" spans="22:25" ht="26" x14ac:dyDescent="0.35">
      <c r="V596" s="67">
        <v>594</v>
      </c>
      <c r="W596" s="63" t="s">
        <v>56</v>
      </c>
      <c r="X596" s="64" t="s">
        <v>2488</v>
      </c>
      <c r="Y596" s="64">
        <v>8248</v>
      </c>
    </row>
    <row r="597" spans="22:25" x14ac:dyDescent="0.35">
      <c r="V597" s="67">
        <v>595</v>
      </c>
      <c r="W597" s="63" t="s">
        <v>56</v>
      </c>
      <c r="X597" s="64" t="s">
        <v>2489</v>
      </c>
      <c r="Y597" s="64">
        <v>8322</v>
      </c>
    </row>
    <row r="598" spans="22:25" ht="26" x14ac:dyDescent="0.35">
      <c r="V598" s="67">
        <v>596</v>
      </c>
      <c r="W598" s="63" t="s">
        <v>56</v>
      </c>
      <c r="X598" s="64" t="s">
        <v>2490</v>
      </c>
      <c r="Y598" s="64">
        <v>3448</v>
      </c>
    </row>
    <row r="599" spans="22:25" x14ac:dyDescent="0.35">
      <c r="V599" s="67">
        <v>597</v>
      </c>
      <c r="W599" s="63" t="s">
        <v>56</v>
      </c>
      <c r="X599" s="64" t="s">
        <v>2491</v>
      </c>
      <c r="Y599" s="64">
        <v>3449</v>
      </c>
    </row>
    <row r="600" spans="22:25" x14ac:dyDescent="0.35">
      <c r="V600" s="67">
        <v>598</v>
      </c>
      <c r="W600" s="63" t="s">
        <v>56</v>
      </c>
      <c r="X600" s="64" t="s">
        <v>2492</v>
      </c>
      <c r="Y600" s="64">
        <v>2488</v>
      </c>
    </row>
    <row r="601" spans="22:25" ht="26" x14ac:dyDescent="0.35">
      <c r="V601" s="67">
        <v>599</v>
      </c>
      <c r="W601" s="63" t="s">
        <v>56</v>
      </c>
      <c r="X601" s="64" t="s">
        <v>2493</v>
      </c>
      <c r="Y601" s="64">
        <v>10004</v>
      </c>
    </row>
    <row r="602" spans="22:25" x14ac:dyDescent="0.35">
      <c r="V602" s="67">
        <v>600</v>
      </c>
      <c r="W602" s="63" t="s">
        <v>56</v>
      </c>
      <c r="X602" s="64" t="s">
        <v>1747</v>
      </c>
      <c r="Y602" s="64">
        <v>8327</v>
      </c>
    </row>
    <row r="603" spans="22:25" x14ac:dyDescent="0.35">
      <c r="V603" s="67">
        <v>601</v>
      </c>
      <c r="W603" s="63" t="s">
        <v>56</v>
      </c>
      <c r="X603" s="64" t="s">
        <v>2494</v>
      </c>
      <c r="Y603" s="64">
        <v>2979</v>
      </c>
    </row>
    <row r="604" spans="22:25" ht="26" x14ac:dyDescent="0.35">
      <c r="V604" s="67">
        <v>602</v>
      </c>
      <c r="W604" s="63" t="s">
        <v>56</v>
      </c>
      <c r="X604" s="64" t="s">
        <v>2495</v>
      </c>
      <c r="Y604" s="64">
        <v>3450</v>
      </c>
    </row>
    <row r="605" spans="22:25" ht="26" x14ac:dyDescent="0.35">
      <c r="V605" s="67">
        <v>603</v>
      </c>
      <c r="W605" s="63" t="s">
        <v>56</v>
      </c>
      <c r="X605" s="64" t="s">
        <v>1193</v>
      </c>
      <c r="Y605" s="64">
        <v>10309</v>
      </c>
    </row>
    <row r="606" spans="22:25" ht="26" x14ac:dyDescent="0.35">
      <c r="V606" s="67">
        <v>604</v>
      </c>
      <c r="W606" s="63" t="s">
        <v>56</v>
      </c>
      <c r="X606" s="64" t="s">
        <v>1881</v>
      </c>
      <c r="Y606" s="64">
        <v>8259</v>
      </c>
    </row>
    <row r="607" spans="22:25" x14ac:dyDescent="0.35">
      <c r="V607" s="67">
        <v>605</v>
      </c>
      <c r="W607" s="63" t="s">
        <v>56</v>
      </c>
      <c r="X607" s="64" t="s">
        <v>2496</v>
      </c>
      <c r="Y607" s="64">
        <v>3451</v>
      </c>
    </row>
    <row r="608" spans="22:25" x14ac:dyDescent="0.35">
      <c r="V608" s="67">
        <v>606</v>
      </c>
      <c r="W608" s="63" t="s">
        <v>56</v>
      </c>
      <c r="X608" s="64" t="s">
        <v>2497</v>
      </c>
      <c r="Y608" s="64">
        <v>8199</v>
      </c>
    </row>
    <row r="609" spans="22:25" x14ac:dyDescent="0.35">
      <c r="V609" s="67">
        <v>607</v>
      </c>
      <c r="W609" s="63" t="s">
        <v>56</v>
      </c>
      <c r="X609" s="64" t="s">
        <v>2520</v>
      </c>
      <c r="Y609" s="64">
        <v>3464</v>
      </c>
    </row>
    <row r="610" spans="22:25" x14ac:dyDescent="0.35">
      <c r="V610" s="67">
        <v>608</v>
      </c>
      <c r="W610" s="63" t="s">
        <v>56</v>
      </c>
      <c r="X610" s="64" t="s">
        <v>2499</v>
      </c>
      <c r="Y610" s="64">
        <v>2980</v>
      </c>
    </row>
    <row r="611" spans="22:25" x14ac:dyDescent="0.35">
      <c r="V611" s="67">
        <v>609</v>
      </c>
      <c r="W611" s="63" t="s">
        <v>56</v>
      </c>
      <c r="X611" s="64" t="s">
        <v>1925</v>
      </c>
      <c r="Y611" s="64">
        <v>3290</v>
      </c>
    </row>
    <row r="612" spans="22:25" x14ac:dyDescent="0.35">
      <c r="V612" s="67">
        <v>610</v>
      </c>
      <c r="W612" s="63" t="s">
        <v>56</v>
      </c>
      <c r="X612" s="64" t="s">
        <v>2501</v>
      </c>
      <c r="Y612" s="64">
        <v>2981</v>
      </c>
    </row>
    <row r="613" spans="22:25" x14ac:dyDescent="0.35">
      <c r="V613" s="67">
        <v>611</v>
      </c>
      <c r="W613" s="63" t="s">
        <v>56</v>
      </c>
      <c r="X613" s="64" t="s">
        <v>1195</v>
      </c>
      <c r="Y613" s="64">
        <v>2982</v>
      </c>
    </row>
    <row r="614" spans="22:25" x14ac:dyDescent="0.35">
      <c r="V614" s="67">
        <v>612</v>
      </c>
      <c r="W614" s="63" t="s">
        <v>56</v>
      </c>
      <c r="X614" s="64" t="s">
        <v>2505</v>
      </c>
      <c r="Y614" s="64">
        <v>10310</v>
      </c>
    </row>
    <row r="615" spans="22:25" x14ac:dyDescent="0.35">
      <c r="V615" s="67">
        <v>613</v>
      </c>
      <c r="W615" s="63" t="s">
        <v>56</v>
      </c>
      <c r="X615" s="64" t="s">
        <v>2503</v>
      </c>
      <c r="Y615" s="64">
        <v>3458</v>
      </c>
    </row>
    <row r="616" spans="22:25" x14ac:dyDescent="0.35">
      <c r="V616" s="67">
        <v>614</v>
      </c>
      <c r="W616" s="63" t="s">
        <v>56</v>
      </c>
      <c r="X616" s="64" t="s">
        <v>2015</v>
      </c>
      <c r="Y616" s="64">
        <v>3546</v>
      </c>
    </row>
    <row r="617" spans="22:25" x14ac:dyDescent="0.35">
      <c r="V617" s="67">
        <v>615</v>
      </c>
      <c r="W617" s="63" t="s">
        <v>56</v>
      </c>
      <c r="X617" s="64" t="s">
        <v>2504</v>
      </c>
      <c r="Y617" s="64">
        <v>2987</v>
      </c>
    </row>
    <row r="618" spans="22:25" x14ac:dyDescent="0.35">
      <c r="V618" s="67">
        <v>616</v>
      </c>
      <c r="W618" s="63" t="s">
        <v>56</v>
      </c>
      <c r="X618" s="64" t="s">
        <v>2312</v>
      </c>
      <c r="Y618" s="64">
        <v>10317</v>
      </c>
    </row>
    <row r="619" spans="22:25" x14ac:dyDescent="0.35">
      <c r="V619" s="67">
        <v>617</v>
      </c>
      <c r="W619" s="63" t="s">
        <v>56</v>
      </c>
      <c r="X619" s="64" t="s">
        <v>2393</v>
      </c>
      <c r="Y619" s="64">
        <v>2901</v>
      </c>
    </row>
    <row r="620" spans="22:25" x14ac:dyDescent="0.35">
      <c r="V620" s="67">
        <v>618</v>
      </c>
      <c r="W620" s="63" t="s">
        <v>56</v>
      </c>
      <c r="X620" s="64" t="s">
        <v>2506</v>
      </c>
      <c r="Y620" s="64">
        <v>10372</v>
      </c>
    </row>
    <row r="621" spans="22:25" x14ac:dyDescent="0.35">
      <c r="V621" s="67">
        <v>619</v>
      </c>
      <c r="W621" s="63" t="s">
        <v>56</v>
      </c>
      <c r="X621" s="64" t="s">
        <v>2196</v>
      </c>
      <c r="Y621" s="64">
        <v>2988</v>
      </c>
    </row>
    <row r="622" spans="22:25" x14ac:dyDescent="0.35">
      <c r="V622" s="67">
        <v>620</v>
      </c>
      <c r="W622" s="63" t="s">
        <v>56</v>
      </c>
      <c r="X622" s="64" t="s">
        <v>2507</v>
      </c>
      <c r="Y622" s="64">
        <v>8200</v>
      </c>
    </row>
    <row r="623" spans="22:25" x14ac:dyDescent="0.35">
      <c r="V623" s="67">
        <v>621</v>
      </c>
      <c r="W623" s="63" t="s">
        <v>56</v>
      </c>
      <c r="X623" s="64" t="s">
        <v>2508</v>
      </c>
      <c r="Y623" s="64">
        <v>8201</v>
      </c>
    </row>
    <row r="624" spans="22:25" ht="26" x14ac:dyDescent="0.35">
      <c r="V624" s="67">
        <v>622</v>
      </c>
      <c r="W624" s="63" t="s">
        <v>56</v>
      </c>
      <c r="X624" s="64" t="s">
        <v>2509</v>
      </c>
      <c r="Y624" s="64">
        <v>8325</v>
      </c>
    </row>
    <row r="625" spans="22:25" x14ac:dyDescent="0.35">
      <c r="V625" s="67">
        <v>623</v>
      </c>
      <c r="W625" s="63" t="s">
        <v>56</v>
      </c>
      <c r="X625" s="64" t="s">
        <v>2512</v>
      </c>
      <c r="Y625" s="64">
        <v>10135</v>
      </c>
    </row>
    <row r="626" spans="22:25" x14ac:dyDescent="0.35">
      <c r="V626" s="67">
        <v>624</v>
      </c>
      <c r="W626" s="63" t="s">
        <v>56</v>
      </c>
      <c r="X626" s="64" t="s">
        <v>2510</v>
      </c>
      <c r="Y626" s="64">
        <v>2990</v>
      </c>
    </row>
    <row r="627" spans="22:25" x14ac:dyDescent="0.35">
      <c r="V627" s="67">
        <v>625</v>
      </c>
      <c r="W627" s="63" t="s">
        <v>56</v>
      </c>
      <c r="X627" s="64" t="s">
        <v>2511</v>
      </c>
      <c r="Y627" s="64">
        <v>8319</v>
      </c>
    </row>
    <row r="628" spans="22:25" x14ac:dyDescent="0.35">
      <c r="V628" s="67">
        <v>626</v>
      </c>
      <c r="W628" s="63" t="s">
        <v>56</v>
      </c>
      <c r="X628" s="64" t="s">
        <v>2513</v>
      </c>
      <c r="Y628" s="64">
        <v>3463</v>
      </c>
    </row>
    <row r="629" spans="22:25" x14ac:dyDescent="0.35">
      <c r="V629" s="67">
        <v>627</v>
      </c>
      <c r="W629" s="63" t="s">
        <v>56</v>
      </c>
      <c r="X629" s="64" t="s">
        <v>2514</v>
      </c>
      <c r="Y629" s="64">
        <v>2994</v>
      </c>
    </row>
    <row r="630" spans="22:25" x14ac:dyDescent="0.35">
      <c r="V630" s="67">
        <v>628</v>
      </c>
      <c r="W630" s="63" t="s">
        <v>56</v>
      </c>
      <c r="X630" s="64" t="s">
        <v>2515</v>
      </c>
      <c r="Y630" s="64">
        <v>10196</v>
      </c>
    </row>
    <row r="631" spans="22:25" x14ac:dyDescent="0.35">
      <c r="V631" s="67">
        <v>629</v>
      </c>
      <c r="W631" s="63" t="s">
        <v>56</v>
      </c>
      <c r="X631" s="64" t="s">
        <v>2516</v>
      </c>
      <c r="Y631" s="64">
        <v>2995</v>
      </c>
    </row>
    <row r="632" spans="22:25" x14ac:dyDescent="0.35">
      <c r="V632" s="67">
        <v>630</v>
      </c>
      <c r="W632" s="63" t="s">
        <v>56</v>
      </c>
      <c r="X632" s="64" t="s">
        <v>2517</v>
      </c>
      <c r="Y632" s="64">
        <v>8213</v>
      </c>
    </row>
    <row r="633" spans="22:25" x14ac:dyDescent="0.35">
      <c r="V633" s="67">
        <v>631</v>
      </c>
      <c r="W633" s="63" t="s">
        <v>56</v>
      </c>
      <c r="X633" s="64" t="s">
        <v>2518</v>
      </c>
      <c r="Y633" s="64">
        <v>10220</v>
      </c>
    </row>
    <row r="634" spans="22:25" x14ac:dyDescent="0.35">
      <c r="V634" s="67">
        <v>632</v>
      </c>
      <c r="W634" s="63" t="s">
        <v>56</v>
      </c>
      <c r="X634" s="64" t="s">
        <v>2519</v>
      </c>
      <c r="Y634" s="64">
        <v>2998</v>
      </c>
    </row>
    <row r="635" spans="22:25" x14ac:dyDescent="0.35">
      <c r="V635" s="67">
        <v>633</v>
      </c>
      <c r="W635" s="63" t="s">
        <v>56</v>
      </c>
      <c r="X635" s="64" t="s">
        <v>2521</v>
      </c>
      <c r="Y635" s="64">
        <v>8182</v>
      </c>
    </row>
    <row r="636" spans="22:25" x14ac:dyDescent="0.35">
      <c r="V636" s="67">
        <v>634</v>
      </c>
      <c r="W636" s="63" t="s">
        <v>56</v>
      </c>
      <c r="X636" s="64" t="s">
        <v>2522</v>
      </c>
      <c r="Y636" s="64">
        <v>8281</v>
      </c>
    </row>
    <row r="637" spans="22:25" ht="26" x14ac:dyDescent="0.35">
      <c r="V637" s="67">
        <v>635</v>
      </c>
      <c r="W637" s="63" t="s">
        <v>56</v>
      </c>
      <c r="X637" s="64" t="s">
        <v>2523</v>
      </c>
      <c r="Y637" s="64">
        <v>3465</v>
      </c>
    </row>
    <row r="638" spans="22:25" ht="26" x14ac:dyDescent="0.35">
      <c r="V638" s="67">
        <v>636</v>
      </c>
      <c r="W638" s="63" t="s">
        <v>56</v>
      </c>
      <c r="X638" s="64" t="s">
        <v>2524</v>
      </c>
      <c r="Y638" s="64">
        <v>3466</v>
      </c>
    </row>
    <row r="639" spans="22:25" x14ac:dyDescent="0.35">
      <c r="V639" s="67">
        <v>637</v>
      </c>
      <c r="W639" s="63" t="s">
        <v>56</v>
      </c>
      <c r="X639" s="64" t="s">
        <v>2197</v>
      </c>
      <c r="Y639" s="64">
        <v>3000</v>
      </c>
    </row>
    <row r="640" spans="22:25" ht="26" x14ac:dyDescent="0.35">
      <c r="V640" s="67">
        <v>638</v>
      </c>
      <c r="W640" s="63" t="s">
        <v>56</v>
      </c>
      <c r="X640" s="64" t="s">
        <v>2527</v>
      </c>
      <c r="Y640" s="64">
        <v>10313</v>
      </c>
    </row>
    <row r="641" spans="22:25" x14ac:dyDescent="0.35">
      <c r="V641" s="67">
        <v>639</v>
      </c>
      <c r="W641" s="63" t="s">
        <v>56</v>
      </c>
      <c r="X641" s="64" t="s">
        <v>2528</v>
      </c>
      <c r="Y641" s="64">
        <v>3002</v>
      </c>
    </row>
    <row r="642" spans="22:25" x14ac:dyDescent="0.35">
      <c r="V642" s="67">
        <v>640</v>
      </c>
      <c r="W642" s="63" t="s">
        <v>56</v>
      </c>
      <c r="X642" s="64" t="s">
        <v>2291</v>
      </c>
      <c r="Y642" s="64">
        <v>3003</v>
      </c>
    </row>
    <row r="643" spans="22:25" ht="26" x14ac:dyDescent="0.35">
      <c r="V643" s="67">
        <v>641</v>
      </c>
      <c r="W643" s="63" t="s">
        <v>56</v>
      </c>
      <c r="X643" s="64" t="s">
        <v>2292</v>
      </c>
      <c r="Y643" s="64">
        <v>10597</v>
      </c>
    </row>
    <row r="644" spans="22:25" x14ac:dyDescent="0.35">
      <c r="V644" s="67">
        <v>642</v>
      </c>
      <c r="W644" s="63" t="s">
        <v>56</v>
      </c>
      <c r="X644" s="64" t="s">
        <v>1902</v>
      </c>
      <c r="Y644" s="64">
        <v>3272</v>
      </c>
    </row>
    <row r="645" spans="22:25" x14ac:dyDescent="0.35">
      <c r="V645" s="67">
        <v>643</v>
      </c>
      <c r="W645" s="63" t="s">
        <v>56</v>
      </c>
      <c r="X645" s="64" t="s">
        <v>2293</v>
      </c>
      <c r="Y645" s="64">
        <v>3467</v>
      </c>
    </row>
    <row r="646" spans="22:25" x14ac:dyDescent="0.35">
      <c r="V646" s="67">
        <v>644</v>
      </c>
      <c r="W646" s="63" t="s">
        <v>56</v>
      </c>
      <c r="X646" s="64" t="s">
        <v>2294</v>
      </c>
      <c r="Y646" s="64">
        <v>10316</v>
      </c>
    </row>
    <row r="647" spans="22:25" x14ac:dyDescent="0.35">
      <c r="V647" s="67">
        <v>645</v>
      </c>
      <c r="W647" s="63" t="s">
        <v>56</v>
      </c>
      <c r="X647" s="64" t="s">
        <v>1198</v>
      </c>
      <c r="Y647" s="64">
        <v>8223</v>
      </c>
    </row>
    <row r="648" spans="22:25" x14ac:dyDescent="0.35">
      <c r="V648" s="67">
        <v>646</v>
      </c>
      <c r="W648" s="63" t="s">
        <v>56</v>
      </c>
      <c r="X648" s="64" t="s">
        <v>2295</v>
      </c>
      <c r="Y648" s="64">
        <v>8332</v>
      </c>
    </row>
    <row r="649" spans="22:25" x14ac:dyDescent="0.35">
      <c r="V649" s="67">
        <v>647</v>
      </c>
      <c r="W649" s="63" t="s">
        <v>56</v>
      </c>
      <c r="X649" s="64" t="s">
        <v>2296</v>
      </c>
      <c r="Y649" s="64">
        <v>3469</v>
      </c>
    </row>
    <row r="650" spans="22:25" x14ac:dyDescent="0.35">
      <c r="V650" s="67">
        <v>648</v>
      </c>
      <c r="W650" s="63" t="s">
        <v>56</v>
      </c>
      <c r="X650" s="64" t="s">
        <v>2297</v>
      </c>
      <c r="Y650" s="64">
        <v>3470</v>
      </c>
    </row>
    <row r="651" spans="22:25" x14ac:dyDescent="0.35">
      <c r="V651" s="67">
        <v>649</v>
      </c>
      <c r="W651" s="63" t="s">
        <v>56</v>
      </c>
      <c r="X651" s="64" t="s">
        <v>2198</v>
      </c>
      <c r="Y651" s="64">
        <v>3007</v>
      </c>
    </row>
    <row r="652" spans="22:25" x14ac:dyDescent="0.35">
      <c r="V652" s="67">
        <v>650</v>
      </c>
      <c r="W652" s="63" t="s">
        <v>56</v>
      </c>
      <c r="X652" s="64" t="s">
        <v>2298</v>
      </c>
      <c r="Y652" s="64">
        <v>10064</v>
      </c>
    </row>
    <row r="653" spans="22:25" x14ac:dyDescent="0.35">
      <c r="V653" s="67">
        <v>651</v>
      </c>
      <c r="W653" s="63" t="s">
        <v>56</v>
      </c>
      <c r="X653" s="64" t="s">
        <v>2299</v>
      </c>
      <c r="Y653" s="64">
        <v>3008</v>
      </c>
    </row>
    <row r="654" spans="22:25" x14ac:dyDescent="0.35">
      <c r="V654" s="67">
        <v>652</v>
      </c>
      <c r="W654" s="63" t="s">
        <v>56</v>
      </c>
      <c r="X654" s="64" t="s">
        <v>2199</v>
      </c>
      <c r="Y654" s="64">
        <v>3009</v>
      </c>
    </row>
    <row r="655" spans="22:25" x14ac:dyDescent="0.35">
      <c r="V655" s="67">
        <v>653</v>
      </c>
      <c r="W655" s="63" t="s">
        <v>56</v>
      </c>
      <c r="X655" s="64" t="s">
        <v>2200</v>
      </c>
      <c r="Y655" s="64">
        <v>3010</v>
      </c>
    </row>
    <row r="656" spans="22:25" x14ac:dyDescent="0.35">
      <c r="V656" s="67">
        <v>654</v>
      </c>
      <c r="W656" s="63" t="s">
        <v>56</v>
      </c>
      <c r="X656" s="64" t="s">
        <v>2300</v>
      </c>
      <c r="Y656" s="64">
        <v>3011</v>
      </c>
    </row>
    <row r="657" spans="22:25" x14ac:dyDescent="0.35">
      <c r="V657" s="67">
        <v>655</v>
      </c>
      <c r="W657" s="63" t="s">
        <v>56</v>
      </c>
      <c r="X657" s="64" t="s">
        <v>2201</v>
      </c>
      <c r="Y657" s="64">
        <v>3012</v>
      </c>
    </row>
    <row r="658" spans="22:25" ht="26" x14ac:dyDescent="0.35">
      <c r="V658" s="67">
        <v>656</v>
      </c>
      <c r="W658" s="63" t="s">
        <v>56</v>
      </c>
      <c r="X658" s="64" t="s">
        <v>2301</v>
      </c>
      <c r="Y658" s="64">
        <v>3472</v>
      </c>
    </row>
    <row r="659" spans="22:25" x14ac:dyDescent="0.35">
      <c r="V659" s="67">
        <v>657</v>
      </c>
      <c r="W659" s="63" t="s">
        <v>56</v>
      </c>
      <c r="X659" s="64" t="s">
        <v>2302</v>
      </c>
      <c r="Y659" s="64">
        <v>3013</v>
      </c>
    </row>
    <row r="660" spans="22:25" x14ac:dyDescent="0.35">
      <c r="V660" s="67">
        <v>658</v>
      </c>
      <c r="W660" s="63" t="s">
        <v>56</v>
      </c>
      <c r="X660" s="64" t="s">
        <v>2303</v>
      </c>
      <c r="Y660" s="64">
        <v>3014</v>
      </c>
    </row>
    <row r="661" spans="22:25" x14ac:dyDescent="0.35">
      <c r="V661" s="67">
        <v>659</v>
      </c>
      <c r="W661" s="63" t="s">
        <v>56</v>
      </c>
      <c r="X661" s="64" t="s">
        <v>2202</v>
      </c>
      <c r="Y661" s="64">
        <v>8176</v>
      </c>
    </row>
    <row r="662" spans="22:25" x14ac:dyDescent="0.35">
      <c r="V662" s="67">
        <v>660</v>
      </c>
      <c r="W662" s="63" t="s">
        <v>56</v>
      </c>
      <c r="X662" s="64" t="s">
        <v>2203</v>
      </c>
      <c r="Y662" s="64">
        <v>3016</v>
      </c>
    </row>
    <row r="663" spans="22:25" x14ac:dyDescent="0.35">
      <c r="V663" s="67">
        <v>661</v>
      </c>
      <c r="W663" s="63" t="s">
        <v>56</v>
      </c>
      <c r="X663" s="64" t="s">
        <v>2204</v>
      </c>
      <c r="Y663" s="64">
        <v>2529</v>
      </c>
    </row>
    <row r="664" spans="22:25" x14ac:dyDescent="0.35">
      <c r="V664" s="67">
        <v>662</v>
      </c>
      <c r="W664" s="63" t="s">
        <v>56</v>
      </c>
      <c r="X664" s="64" t="s">
        <v>2205</v>
      </c>
      <c r="Y664" s="64">
        <v>3019</v>
      </c>
    </row>
    <row r="665" spans="22:25" x14ac:dyDescent="0.35">
      <c r="V665" s="67">
        <v>663</v>
      </c>
      <c r="W665" s="63" t="s">
        <v>56</v>
      </c>
      <c r="X665" s="64" t="s">
        <v>2206</v>
      </c>
      <c r="Y665" s="64">
        <v>3020</v>
      </c>
    </row>
    <row r="666" spans="22:25" x14ac:dyDescent="0.35">
      <c r="V666" s="67">
        <v>664</v>
      </c>
      <c r="W666" s="63" t="s">
        <v>56</v>
      </c>
      <c r="X666" s="64" t="s">
        <v>2305</v>
      </c>
      <c r="Y666" s="64">
        <v>3018</v>
      </c>
    </row>
    <row r="667" spans="22:25" ht="26" x14ac:dyDescent="0.35">
      <c r="V667" s="67">
        <v>665</v>
      </c>
      <c r="W667" s="63" t="s">
        <v>56</v>
      </c>
      <c r="X667" s="64" t="s">
        <v>2308</v>
      </c>
      <c r="Y667" s="64">
        <v>8290</v>
      </c>
    </row>
    <row r="668" spans="22:25" x14ac:dyDescent="0.35">
      <c r="V668" s="67">
        <v>666</v>
      </c>
      <c r="W668" s="63" t="s">
        <v>56</v>
      </c>
      <c r="X668" s="64" t="s">
        <v>2309</v>
      </c>
      <c r="Y668" s="64">
        <v>10128</v>
      </c>
    </row>
    <row r="669" spans="22:25" x14ac:dyDescent="0.35">
      <c r="V669" s="67">
        <v>667</v>
      </c>
      <c r="W669" s="63" t="s">
        <v>56</v>
      </c>
      <c r="X669" s="64" t="s">
        <v>2310</v>
      </c>
      <c r="Y669" s="64">
        <v>3477</v>
      </c>
    </row>
    <row r="670" spans="22:25" x14ac:dyDescent="0.35">
      <c r="V670" s="67">
        <v>668</v>
      </c>
      <c r="W670" s="63" t="s">
        <v>56</v>
      </c>
      <c r="X670" s="64" t="s">
        <v>2311</v>
      </c>
      <c r="Y670" s="64">
        <v>3478</v>
      </c>
    </row>
    <row r="671" spans="22:25" x14ac:dyDescent="0.35">
      <c r="V671" s="67">
        <v>669</v>
      </c>
      <c r="W671" s="63" t="s">
        <v>56</v>
      </c>
      <c r="X671" s="64" t="s">
        <v>2313</v>
      </c>
      <c r="Y671" s="64">
        <v>3481</v>
      </c>
    </row>
    <row r="672" spans="22:25" x14ac:dyDescent="0.35">
      <c r="V672" s="67">
        <v>670</v>
      </c>
      <c r="W672" s="63" t="s">
        <v>56</v>
      </c>
      <c r="X672" s="64" t="s">
        <v>2314</v>
      </c>
      <c r="Y672" s="64">
        <v>3482</v>
      </c>
    </row>
    <row r="673" spans="22:25" x14ac:dyDescent="0.35">
      <c r="V673" s="67">
        <v>671</v>
      </c>
      <c r="W673" s="63" t="s">
        <v>56</v>
      </c>
      <c r="X673" s="64" t="s">
        <v>2315</v>
      </c>
      <c r="Y673" s="64">
        <v>3484</v>
      </c>
    </row>
    <row r="674" spans="22:25" x14ac:dyDescent="0.35">
      <c r="V674" s="67">
        <v>672</v>
      </c>
      <c r="W674" s="63" t="s">
        <v>56</v>
      </c>
      <c r="X674" s="64" t="s">
        <v>2316</v>
      </c>
      <c r="Y674" s="64">
        <v>3025</v>
      </c>
    </row>
    <row r="675" spans="22:25" ht="26" x14ac:dyDescent="0.35">
      <c r="V675" s="67">
        <v>673</v>
      </c>
      <c r="W675" s="63" t="s">
        <v>56</v>
      </c>
      <c r="X675" s="64" t="s">
        <v>2317</v>
      </c>
      <c r="Y675" s="64">
        <v>3486</v>
      </c>
    </row>
    <row r="676" spans="22:25" x14ac:dyDescent="0.35">
      <c r="V676" s="67">
        <v>674</v>
      </c>
      <c r="W676" s="63" t="s">
        <v>56</v>
      </c>
      <c r="X676" s="64" t="s">
        <v>2207</v>
      </c>
      <c r="Y676" s="64">
        <v>10318</v>
      </c>
    </row>
    <row r="677" spans="22:25" ht="26" x14ac:dyDescent="0.35">
      <c r="V677" s="67">
        <v>675</v>
      </c>
      <c r="W677" s="63" t="s">
        <v>56</v>
      </c>
      <c r="X677" s="64" t="s">
        <v>2328</v>
      </c>
      <c r="Y677" s="64">
        <v>3039</v>
      </c>
    </row>
    <row r="678" spans="22:25" x14ac:dyDescent="0.35">
      <c r="V678" s="67">
        <v>676</v>
      </c>
      <c r="W678" s="63" t="s">
        <v>56</v>
      </c>
      <c r="X678" s="64" t="s">
        <v>2319</v>
      </c>
      <c r="Y678" s="64">
        <v>8280</v>
      </c>
    </row>
    <row r="679" spans="22:25" x14ac:dyDescent="0.35">
      <c r="V679" s="67">
        <v>677</v>
      </c>
      <c r="W679" s="63" t="s">
        <v>56</v>
      </c>
      <c r="X679" s="64" t="s">
        <v>2409</v>
      </c>
      <c r="Y679" s="64">
        <v>8219</v>
      </c>
    </row>
    <row r="680" spans="22:25" x14ac:dyDescent="0.35">
      <c r="V680" s="67">
        <v>678</v>
      </c>
      <c r="W680" s="63" t="s">
        <v>56</v>
      </c>
      <c r="X680" s="64" t="s">
        <v>2320</v>
      </c>
      <c r="Y680" s="64">
        <v>8206</v>
      </c>
    </row>
    <row r="681" spans="22:25" x14ac:dyDescent="0.35">
      <c r="V681" s="67">
        <v>679</v>
      </c>
      <c r="W681" s="63" t="s">
        <v>56</v>
      </c>
      <c r="X681" s="64" t="s">
        <v>2208</v>
      </c>
      <c r="Y681" s="64">
        <v>10405</v>
      </c>
    </row>
    <row r="682" spans="22:25" x14ac:dyDescent="0.35">
      <c r="V682" s="67">
        <v>680</v>
      </c>
      <c r="W682" s="63" t="s">
        <v>56</v>
      </c>
      <c r="X682" s="64" t="s">
        <v>2321</v>
      </c>
      <c r="Y682" s="64">
        <v>3491</v>
      </c>
    </row>
    <row r="683" spans="22:25" x14ac:dyDescent="0.35">
      <c r="V683" s="67">
        <v>681</v>
      </c>
      <c r="W683" s="63" t="s">
        <v>56</v>
      </c>
      <c r="X683" s="64" t="s">
        <v>2322</v>
      </c>
      <c r="Y683" s="64">
        <v>10050</v>
      </c>
    </row>
    <row r="684" spans="22:25" x14ac:dyDescent="0.35">
      <c r="V684" s="67">
        <v>682</v>
      </c>
      <c r="W684" s="63" t="s">
        <v>56</v>
      </c>
      <c r="X684" s="64" t="s">
        <v>2325</v>
      </c>
      <c r="Y684" s="64">
        <v>3036</v>
      </c>
    </row>
    <row r="685" spans="22:25" x14ac:dyDescent="0.35">
      <c r="V685" s="67">
        <v>683</v>
      </c>
      <c r="W685" s="63" t="s">
        <v>56</v>
      </c>
      <c r="X685" s="64" t="s">
        <v>2326</v>
      </c>
      <c r="Y685" s="64">
        <v>3494</v>
      </c>
    </row>
    <row r="686" spans="22:25" x14ac:dyDescent="0.35">
      <c r="V686" s="67">
        <v>684</v>
      </c>
      <c r="W686" s="63" t="s">
        <v>56</v>
      </c>
      <c r="X686" s="64" t="s">
        <v>2209</v>
      </c>
      <c r="Y686" s="64">
        <v>3038</v>
      </c>
    </row>
    <row r="687" spans="22:25" x14ac:dyDescent="0.35">
      <c r="V687" s="67">
        <v>685</v>
      </c>
      <c r="W687" s="63" t="s">
        <v>56</v>
      </c>
      <c r="X687" s="64" t="s">
        <v>2327</v>
      </c>
      <c r="Y687" s="64">
        <v>3495</v>
      </c>
    </row>
    <row r="688" spans="22:25" x14ac:dyDescent="0.35">
      <c r="V688" s="67">
        <v>686</v>
      </c>
      <c r="W688" s="63" t="s">
        <v>56</v>
      </c>
      <c r="X688" s="64" t="s">
        <v>2330</v>
      </c>
      <c r="Y688" s="64">
        <v>10608</v>
      </c>
    </row>
    <row r="689" spans="22:25" x14ac:dyDescent="0.35">
      <c r="V689" s="67">
        <v>687</v>
      </c>
      <c r="W689" s="63" t="s">
        <v>56</v>
      </c>
      <c r="X689" s="64" t="s">
        <v>2331</v>
      </c>
      <c r="Y689" s="64">
        <v>3496</v>
      </c>
    </row>
    <row r="690" spans="22:25" x14ac:dyDescent="0.35">
      <c r="V690" s="67">
        <v>688</v>
      </c>
      <c r="W690" s="63" t="s">
        <v>56</v>
      </c>
      <c r="X690" s="64" t="s">
        <v>2210</v>
      </c>
      <c r="Y690" s="64">
        <v>3041</v>
      </c>
    </row>
    <row r="691" spans="22:25" x14ac:dyDescent="0.35">
      <c r="V691" s="67">
        <v>689</v>
      </c>
      <c r="W691" s="63" t="s">
        <v>56</v>
      </c>
      <c r="X691" s="64" t="s">
        <v>2332</v>
      </c>
      <c r="Y691" s="64">
        <v>3497</v>
      </c>
    </row>
    <row r="692" spans="22:25" x14ac:dyDescent="0.35">
      <c r="V692" s="67">
        <v>690</v>
      </c>
      <c r="W692" s="63" t="s">
        <v>56</v>
      </c>
      <c r="X692" s="64" t="s">
        <v>2333</v>
      </c>
      <c r="Y692" s="64">
        <v>3498</v>
      </c>
    </row>
    <row r="693" spans="22:25" x14ac:dyDescent="0.35">
      <c r="V693" s="67">
        <v>691</v>
      </c>
      <c r="W693" s="63" t="s">
        <v>56</v>
      </c>
      <c r="X693" s="64" t="s">
        <v>2334</v>
      </c>
      <c r="Y693" s="64">
        <v>10010</v>
      </c>
    </row>
    <row r="694" spans="22:25" ht="26" x14ac:dyDescent="0.35">
      <c r="V694" s="67">
        <v>692</v>
      </c>
      <c r="W694" s="63" t="s">
        <v>56</v>
      </c>
      <c r="X694" s="64" t="s">
        <v>2336</v>
      </c>
      <c r="Y694" s="64">
        <v>10011</v>
      </c>
    </row>
    <row r="695" spans="22:25" x14ac:dyDescent="0.35">
      <c r="V695" s="67">
        <v>693</v>
      </c>
      <c r="W695" s="63" t="s">
        <v>56</v>
      </c>
      <c r="X695" s="64" t="s">
        <v>2337</v>
      </c>
      <c r="Y695" s="64">
        <v>8240</v>
      </c>
    </row>
    <row r="696" spans="22:25" x14ac:dyDescent="0.35">
      <c r="V696" s="67">
        <v>694</v>
      </c>
      <c r="W696" s="63" t="s">
        <v>56</v>
      </c>
      <c r="X696" s="64" t="s">
        <v>1833</v>
      </c>
      <c r="Y696" s="64">
        <v>10201</v>
      </c>
    </row>
    <row r="697" spans="22:25" x14ac:dyDescent="0.35">
      <c r="V697" s="67">
        <v>695</v>
      </c>
      <c r="W697" s="63" t="s">
        <v>56</v>
      </c>
      <c r="X697" s="64" t="s">
        <v>1199</v>
      </c>
      <c r="Y697" s="64">
        <v>10177</v>
      </c>
    </row>
    <row r="698" spans="22:25" x14ac:dyDescent="0.35">
      <c r="V698" s="67">
        <v>696</v>
      </c>
      <c r="W698" s="63" t="s">
        <v>56</v>
      </c>
      <c r="X698" s="64" t="s">
        <v>1200</v>
      </c>
      <c r="Y698" s="64">
        <v>8226</v>
      </c>
    </row>
    <row r="699" spans="22:25" x14ac:dyDescent="0.35">
      <c r="V699" s="67">
        <v>697</v>
      </c>
      <c r="W699" s="63" t="s">
        <v>56</v>
      </c>
      <c r="X699" s="64" t="s">
        <v>2104</v>
      </c>
      <c r="Y699" s="64">
        <v>3501</v>
      </c>
    </row>
    <row r="700" spans="22:25" x14ac:dyDescent="0.35">
      <c r="V700" s="67">
        <v>698</v>
      </c>
      <c r="W700" s="63" t="s">
        <v>56</v>
      </c>
      <c r="X700" s="64" t="s">
        <v>2105</v>
      </c>
      <c r="Y700" s="64">
        <v>3500</v>
      </c>
    </row>
    <row r="701" spans="22:25" x14ac:dyDescent="0.35">
      <c r="V701" s="67">
        <v>699</v>
      </c>
      <c r="W701" s="63" t="s">
        <v>56</v>
      </c>
      <c r="X701" s="64" t="s">
        <v>1481</v>
      </c>
      <c r="Y701" s="64">
        <v>3044</v>
      </c>
    </row>
    <row r="702" spans="22:25" x14ac:dyDescent="0.35">
      <c r="V702" s="67">
        <v>700</v>
      </c>
      <c r="W702" s="63" t="s">
        <v>56</v>
      </c>
      <c r="X702" s="64" t="s">
        <v>2095</v>
      </c>
      <c r="Y702" s="64">
        <v>8238</v>
      </c>
    </row>
    <row r="703" spans="22:25" x14ac:dyDescent="0.35">
      <c r="V703" s="67">
        <v>701</v>
      </c>
      <c r="W703" s="63" t="s">
        <v>56</v>
      </c>
      <c r="X703" s="64" t="s">
        <v>2103</v>
      </c>
      <c r="Y703" s="64">
        <v>3045</v>
      </c>
    </row>
    <row r="704" spans="22:25" x14ac:dyDescent="0.35">
      <c r="V704" s="67">
        <v>702</v>
      </c>
      <c r="W704" s="63" t="s">
        <v>56</v>
      </c>
      <c r="X704" s="64" t="s">
        <v>1202</v>
      </c>
      <c r="Y704" s="64">
        <v>8227</v>
      </c>
    </row>
    <row r="705" spans="22:25" x14ac:dyDescent="0.35">
      <c r="V705" s="67">
        <v>703</v>
      </c>
      <c r="W705" s="63" t="s">
        <v>56</v>
      </c>
      <c r="X705" s="64" t="s">
        <v>2102</v>
      </c>
      <c r="Y705" s="64">
        <v>3502</v>
      </c>
    </row>
    <row r="706" spans="22:25" x14ac:dyDescent="0.35">
      <c r="V706" s="67">
        <v>704</v>
      </c>
      <c r="W706" s="63" t="s">
        <v>56</v>
      </c>
      <c r="X706" s="64" t="s">
        <v>2040</v>
      </c>
      <c r="Y706" s="64">
        <v>3527</v>
      </c>
    </row>
    <row r="707" spans="22:25" ht="26" x14ac:dyDescent="0.35">
      <c r="V707" s="67">
        <v>705</v>
      </c>
      <c r="W707" s="63" t="s">
        <v>56</v>
      </c>
      <c r="X707" s="64" t="s">
        <v>2101</v>
      </c>
      <c r="Y707" s="64">
        <v>10400</v>
      </c>
    </row>
    <row r="708" spans="22:25" ht="26" x14ac:dyDescent="0.35">
      <c r="V708" s="67">
        <v>706</v>
      </c>
      <c r="W708" s="63" t="s">
        <v>56</v>
      </c>
      <c r="X708" s="64" t="s">
        <v>2096</v>
      </c>
      <c r="Y708" s="64">
        <v>10321</v>
      </c>
    </row>
    <row r="709" spans="22:25" x14ac:dyDescent="0.35">
      <c r="V709" s="67">
        <v>707</v>
      </c>
      <c r="W709" s="63" t="s">
        <v>56</v>
      </c>
      <c r="X709" s="64" t="s">
        <v>2100</v>
      </c>
      <c r="Y709" s="64">
        <v>3049</v>
      </c>
    </row>
    <row r="710" spans="22:25" x14ac:dyDescent="0.35">
      <c r="V710" s="67">
        <v>708</v>
      </c>
      <c r="W710" s="63" t="s">
        <v>56</v>
      </c>
      <c r="X710" s="64" t="s">
        <v>2099</v>
      </c>
      <c r="Y710" s="64">
        <v>3050</v>
      </c>
    </row>
    <row r="711" spans="22:25" x14ac:dyDescent="0.35">
      <c r="V711" s="67">
        <v>709</v>
      </c>
      <c r="W711" s="63" t="s">
        <v>56</v>
      </c>
      <c r="X711" s="64" t="s">
        <v>2098</v>
      </c>
      <c r="Y711" s="64">
        <v>3051</v>
      </c>
    </row>
    <row r="712" spans="22:25" x14ac:dyDescent="0.35">
      <c r="V712" s="67">
        <v>710</v>
      </c>
      <c r="W712" s="63" t="s">
        <v>56</v>
      </c>
      <c r="X712" s="64" t="s">
        <v>2097</v>
      </c>
      <c r="Y712" s="64">
        <v>10111</v>
      </c>
    </row>
    <row r="713" spans="22:25" x14ac:dyDescent="0.35">
      <c r="V713" s="67">
        <v>711</v>
      </c>
      <c r="W713" s="63" t="s">
        <v>56</v>
      </c>
      <c r="X713" s="64" t="s">
        <v>2094</v>
      </c>
      <c r="Y713" s="64">
        <v>3053</v>
      </c>
    </row>
    <row r="714" spans="22:25" x14ac:dyDescent="0.35">
      <c r="V714" s="67">
        <v>712</v>
      </c>
      <c r="W714" s="63" t="s">
        <v>56</v>
      </c>
      <c r="X714" s="64" t="s">
        <v>2093</v>
      </c>
      <c r="Y714" s="64">
        <v>10406</v>
      </c>
    </row>
    <row r="715" spans="22:25" x14ac:dyDescent="0.35">
      <c r="V715" s="67">
        <v>713</v>
      </c>
      <c r="W715" s="63" t="s">
        <v>56</v>
      </c>
      <c r="X715" s="64" t="s">
        <v>2091</v>
      </c>
      <c r="Y715" s="64">
        <v>8162</v>
      </c>
    </row>
    <row r="716" spans="22:25" x14ac:dyDescent="0.35">
      <c r="V716" s="67">
        <v>714</v>
      </c>
      <c r="W716" s="63" t="s">
        <v>56</v>
      </c>
      <c r="X716" s="64" t="s">
        <v>2090</v>
      </c>
      <c r="Y716" s="64">
        <v>10374</v>
      </c>
    </row>
    <row r="717" spans="22:25" x14ac:dyDescent="0.35">
      <c r="V717" s="67">
        <v>715</v>
      </c>
      <c r="W717" s="63" t="s">
        <v>56</v>
      </c>
      <c r="X717" s="64" t="s">
        <v>2089</v>
      </c>
      <c r="Y717" s="64">
        <v>3057</v>
      </c>
    </row>
    <row r="718" spans="22:25" x14ac:dyDescent="0.35">
      <c r="V718" s="67">
        <v>716</v>
      </c>
      <c r="W718" s="63" t="s">
        <v>56</v>
      </c>
      <c r="X718" s="64" t="s">
        <v>2088</v>
      </c>
      <c r="Y718" s="64">
        <v>10110</v>
      </c>
    </row>
    <row r="719" spans="22:25" x14ac:dyDescent="0.35">
      <c r="V719" s="67">
        <v>717</v>
      </c>
      <c r="W719" s="63" t="s">
        <v>56</v>
      </c>
      <c r="X719" s="64" t="s">
        <v>2067</v>
      </c>
      <c r="Y719" s="64">
        <v>3514</v>
      </c>
    </row>
    <row r="720" spans="22:25" x14ac:dyDescent="0.35">
      <c r="V720" s="67">
        <v>718</v>
      </c>
      <c r="W720" s="63" t="s">
        <v>56</v>
      </c>
      <c r="X720" s="64" t="s">
        <v>2087</v>
      </c>
      <c r="Y720" s="64">
        <v>10051</v>
      </c>
    </row>
    <row r="721" spans="22:25" ht="26" x14ac:dyDescent="0.35">
      <c r="V721" s="67">
        <v>719</v>
      </c>
      <c r="W721" s="63" t="s">
        <v>56</v>
      </c>
      <c r="X721" s="64" t="s">
        <v>2086</v>
      </c>
      <c r="Y721" s="64">
        <v>3505</v>
      </c>
    </row>
    <row r="722" spans="22:25" x14ac:dyDescent="0.35">
      <c r="V722" s="67">
        <v>720</v>
      </c>
      <c r="W722" s="63" t="s">
        <v>56</v>
      </c>
      <c r="X722" s="64" t="s">
        <v>2084</v>
      </c>
      <c r="Y722" s="64">
        <v>2567</v>
      </c>
    </row>
    <row r="723" spans="22:25" x14ac:dyDescent="0.35">
      <c r="V723" s="67">
        <v>721</v>
      </c>
      <c r="W723" s="63" t="s">
        <v>56</v>
      </c>
      <c r="X723" s="64" t="s">
        <v>2083</v>
      </c>
      <c r="Y723" s="64">
        <v>3058</v>
      </c>
    </row>
    <row r="724" spans="22:25" x14ac:dyDescent="0.35">
      <c r="V724" s="67">
        <v>722</v>
      </c>
      <c r="W724" s="63" t="s">
        <v>56</v>
      </c>
      <c r="X724" s="64" t="s">
        <v>2082</v>
      </c>
      <c r="Y724" s="64">
        <v>3506</v>
      </c>
    </row>
    <row r="725" spans="22:25" x14ac:dyDescent="0.35">
      <c r="V725" s="67">
        <v>723</v>
      </c>
      <c r="W725" s="63" t="s">
        <v>56</v>
      </c>
      <c r="X725" s="64" t="s">
        <v>2080</v>
      </c>
      <c r="Y725" s="64">
        <v>3509</v>
      </c>
    </row>
    <row r="726" spans="22:25" x14ac:dyDescent="0.35">
      <c r="V726" s="67">
        <v>724</v>
      </c>
      <c r="W726" s="63" t="s">
        <v>56</v>
      </c>
      <c r="X726" s="64" t="s">
        <v>2079</v>
      </c>
      <c r="Y726" s="64">
        <v>3510</v>
      </c>
    </row>
    <row r="727" spans="22:25" x14ac:dyDescent="0.35">
      <c r="V727" s="67">
        <v>725</v>
      </c>
      <c r="W727" s="63" t="s">
        <v>56</v>
      </c>
      <c r="X727" s="64" t="s">
        <v>2078</v>
      </c>
      <c r="Y727" s="64">
        <v>3060</v>
      </c>
    </row>
    <row r="728" spans="22:25" x14ac:dyDescent="0.35">
      <c r="V728" s="67">
        <v>726</v>
      </c>
      <c r="W728" s="63" t="s">
        <v>56</v>
      </c>
      <c r="X728" s="64" t="s">
        <v>2076</v>
      </c>
      <c r="Y728" s="64">
        <v>3062</v>
      </c>
    </row>
    <row r="729" spans="22:25" x14ac:dyDescent="0.35">
      <c r="V729" s="67">
        <v>727</v>
      </c>
      <c r="W729" s="63" t="s">
        <v>56</v>
      </c>
      <c r="X729" s="64" t="s">
        <v>2075</v>
      </c>
      <c r="Y729" s="64">
        <v>3063</v>
      </c>
    </row>
    <row r="730" spans="22:25" ht="26" x14ac:dyDescent="0.35">
      <c r="V730" s="67">
        <v>728</v>
      </c>
      <c r="W730" s="63" t="s">
        <v>56</v>
      </c>
      <c r="X730" s="64" t="s">
        <v>2073</v>
      </c>
      <c r="Y730" s="64">
        <v>10180</v>
      </c>
    </row>
    <row r="731" spans="22:25" x14ac:dyDescent="0.35">
      <c r="V731" s="67">
        <v>729</v>
      </c>
      <c r="W731" s="63" t="s">
        <v>56</v>
      </c>
      <c r="X731" s="64" t="s">
        <v>2072</v>
      </c>
      <c r="Y731" s="64">
        <v>3512</v>
      </c>
    </row>
    <row r="732" spans="22:25" x14ac:dyDescent="0.35">
      <c r="V732" s="67">
        <v>730</v>
      </c>
      <c r="W732" s="63" t="s">
        <v>56</v>
      </c>
      <c r="X732" s="64" t="s">
        <v>2071</v>
      </c>
      <c r="Y732" s="64">
        <v>3066</v>
      </c>
    </row>
    <row r="733" spans="22:25" x14ac:dyDescent="0.35">
      <c r="V733" s="67">
        <v>731</v>
      </c>
      <c r="W733" s="63" t="s">
        <v>56</v>
      </c>
      <c r="X733" s="64" t="s">
        <v>2070</v>
      </c>
      <c r="Y733" s="64">
        <v>3513</v>
      </c>
    </row>
    <row r="734" spans="22:25" x14ac:dyDescent="0.35">
      <c r="V734" s="67">
        <v>732</v>
      </c>
      <c r="W734" s="63" t="s">
        <v>56</v>
      </c>
      <c r="X734" s="64" t="s">
        <v>2069</v>
      </c>
      <c r="Y734" s="64">
        <v>3068</v>
      </c>
    </row>
    <row r="735" spans="22:25" x14ac:dyDescent="0.35">
      <c r="V735" s="67">
        <v>733</v>
      </c>
      <c r="W735" s="63" t="s">
        <v>56</v>
      </c>
      <c r="X735" s="64" t="s">
        <v>2068</v>
      </c>
      <c r="Y735" s="64">
        <v>2575</v>
      </c>
    </row>
    <row r="736" spans="22:25" x14ac:dyDescent="0.35">
      <c r="V736" s="67">
        <v>734</v>
      </c>
      <c r="W736" s="63" t="s">
        <v>56</v>
      </c>
      <c r="X736" s="64" t="s">
        <v>1203</v>
      </c>
      <c r="Y736" s="64">
        <v>10324</v>
      </c>
    </row>
    <row r="737" spans="22:25" x14ac:dyDescent="0.35">
      <c r="V737" s="67">
        <v>735</v>
      </c>
      <c r="W737" s="63" t="s">
        <v>56</v>
      </c>
      <c r="X737" s="64" t="s">
        <v>2066</v>
      </c>
      <c r="Y737" s="64">
        <v>8202</v>
      </c>
    </row>
    <row r="738" spans="22:25" x14ac:dyDescent="0.35">
      <c r="V738" s="67">
        <v>736</v>
      </c>
      <c r="W738" s="63" t="s">
        <v>56</v>
      </c>
      <c r="X738" s="64" t="s">
        <v>2065</v>
      </c>
      <c r="Y738" s="64">
        <v>3070</v>
      </c>
    </row>
    <row r="739" spans="22:25" x14ac:dyDescent="0.35">
      <c r="V739" s="67">
        <v>737</v>
      </c>
      <c r="W739" s="63" t="s">
        <v>56</v>
      </c>
      <c r="X739" s="64" t="s">
        <v>2064</v>
      </c>
      <c r="Y739" s="64">
        <v>10178</v>
      </c>
    </row>
    <row r="740" spans="22:25" x14ac:dyDescent="0.35">
      <c r="V740" s="67">
        <v>738</v>
      </c>
      <c r="W740" s="63" t="s">
        <v>56</v>
      </c>
      <c r="X740" s="64" t="s">
        <v>2062</v>
      </c>
      <c r="Y740" s="64">
        <v>3074</v>
      </c>
    </row>
    <row r="741" spans="22:25" x14ac:dyDescent="0.35">
      <c r="V741" s="67">
        <v>739</v>
      </c>
      <c r="W741" s="63" t="s">
        <v>56</v>
      </c>
      <c r="X741" s="64" t="s">
        <v>2106</v>
      </c>
      <c r="Y741" s="64">
        <v>2779</v>
      </c>
    </row>
    <row r="742" spans="22:25" x14ac:dyDescent="0.35">
      <c r="V742" s="67">
        <v>740</v>
      </c>
      <c r="W742" s="63" t="s">
        <v>56</v>
      </c>
      <c r="X742" s="64" t="s">
        <v>2061</v>
      </c>
      <c r="Y742" s="64">
        <v>2577</v>
      </c>
    </row>
    <row r="743" spans="22:25" x14ac:dyDescent="0.35">
      <c r="V743" s="67">
        <v>741</v>
      </c>
      <c r="W743" s="63" t="s">
        <v>56</v>
      </c>
      <c r="X743" s="64" t="s">
        <v>2484</v>
      </c>
      <c r="Y743" s="64">
        <v>2970</v>
      </c>
    </row>
    <row r="744" spans="22:25" x14ac:dyDescent="0.35">
      <c r="V744" s="67">
        <v>742</v>
      </c>
      <c r="W744" s="63" t="s">
        <v>56</v>
      </c>
      <c r="X744" s="64" t="s">
        <v>2419</v>
      </c>
      <c r="Y744" s="64">
        <v>10063</v>
      </c>
    </row>
    <row r="745" spans="22:25" ht="26" x14ac:dyDescent="0.35">
      <c r="V745" s="67">
        <v>743</v>
      </c>
      <c r="W745" s="63" t="s">
        <v>56</v>
      </c>
      <c r="X745" s="64" t="s">
        <v>2060</v>
      </c>
      <c r="Y745" s="64">
        <v>3076</v>
      </c>
    </row>
    <row r="746" spans="22:25" x14ac:dyDescent="0.35">
      <c r="V746" s="67">
        <v>744</v>
      </c>
      <c r="W746" s="63" t="s">
        <v>56</v>
      </c>
      <c r="X746" s="64" t="s">
        <v>2059</v>
      </c>
      <c r="Y746" s="64">
        <v>3517</v>
      </c>
    </row>
    <row r="747" spans="22:25" x14ac:dyDescent="0.35">
      <c r="V747" s="67">
        <v>745</v>
      </c>
      <c r="W747" s="63" t="s">
        <v>56</v>
      </c>
      <c r="X747" s="64" t="s">
        <v>2058</v>
      </c>
      <c r="Y747" s="64">
        <v>3518</v>
      </c>
    </row>
    <row r="748" spans="22:25" ht="26" x14ac:dyDescent="0.35">
      <c r="V748" s="67">
        <v>746</v>
      </c>
      <c r="W748" s="63" t="s">
        <v>56</v>
      </c>
      <c r="X748" s="64" t="s">
        <v>2057</v>
      </c>
      <c r="Y748" s="64">
        <v>8336</v>
      </c>
    </row>
    <row r="749" spans="22:25" x14ac:dyDescent="0.35">
      <c r="V749" s="67">
        <v>747</v>
      </c>
      <c r="W749" s="63" t="s">
        <v>56</v>
      </c>
      <c r="X749" s="64" t="s">
        <v>2056</v>
      </c>
      <c r="Y749" s="64">
        <v>3519</v>
      </c>
    </row>
    <row r="750" spans="22:25" x14ac:dyDescent="0.35">
      <c r="V750" s="67">
        <v>748</v>
      </c>
      <c r="W750" s="63" t="s">
        <v>56</v>
      </c>
      <c r="X750" s="64" t="s">
        <v>2055</v>
      </c>
      <c r="Y750" s="64">
        <v>8184</v>
      </c>
    </row>
    <row r="751" spans="22:25" x14ac:dyDescent="0.35">
      <c r="V751" s="67">
        <v>749</v>
      </c>
      <c r="W751" s="63" t="s">
        <v>56</v>
      </c>
      <c r="X751" s="64" t="s">
        <v>1792</v>
      </c>
      <c r="Y751" s="64">
        <v>10415</v>
      </c>
    </row>
    <row r="752" spans="22:25" x14ac:dyDescent="0.35">
      <c r="V752" s="67">
        <v>750</v>
      </c>
      <c r="W752" s="63" t="s">
        <v>56</v>
      </c>
      <c r="X752" s="64" t="s">
        <v>2054</v>
      </c>
      <c r="Y752" s="64">
        <v>3077</v>
      </c>
    </row>
    <row r="753" spans="22:25" ht="26" x14ac:dyDescent="0.35">
      <c r="V753" s="67">
        <v>751</v>
      </c>
      <c r="W753" s="63" t="s">
        <v>56</v>
      </c>
      <c r="X753" s="64" t="s">
        <v>2053</v>
      </c>
      <c r="Y753" s="64">
        <v>8346</v>
      </c>
    </row>
    <row r="754" spans="22:25" x14ac:dyDescent="0.35">
      <c r="V754" s="67">
        <v>752</v>
      </c>
      <c r="W754" s="63" t="s">
        <v>56</v>
      </c>
      <c r="X754" s="64" t="s">
        <v>2035</v>
      </c>
      <c r="Y754" s="64">
        <v>3531</v>
      </c>
    </row>
    <row r="755" spans="22:25" x14ac:dyDescent="0.35">
      <c r="V755" s="67">
        <v>753</v>
      </c>
      <c r="W755" s="63" t="s">
        <v>56</v>
      </c>
      <c r="X755" s="64" t="s">
        <v>2051</v>
      </c>
      <c r="Y755" s="64">
        <v>3521</v>
      </c>
    </row>
    <row r="756" spans="22:25" x14ac:dyDescent="0.35">
      <c r="V756" s="67">
        <v>754</v>
      </c>
      <c r="W756" s="63" t="s">
        <v>56</v>
      </c>
      <c r="X756" s="64" t="s">
        <v>2050</v>
      </c>
      <c r="Y756" s="64">
        <v>3522</v>
      </c>
    </row>
    <row r="757" spans="22:25" x14ac:dyDescent="0.35">
      <c r="V757" s="67">
        <v>755</v>
      </c>
      <c r="W757" s="63" t="s">
        <v>56</v>
      </c>
      <c r="X757" s="64" t="s">
        <v>2049</v>
      </c>
      <c r="Y757" s="64">
        <v>8267</v>
      </c>
    </row>
    <row r="758" spans="22:25" x14ac:dyDescent="0.35">
      <c r="V758" s="67">
        <v>756</v>
      </c>
      <c r="W758" s="63" t="s">
        <v>56</v>
      </c>
      <c r="X758" s="64" t="s">
        <v>2048</v>
      </c>
      <c r="Y758" s="64">
        <v>3523</v>
      </c>
    </row>
    <row r="759" spans="22:25" x14ac:dyDescent="0.35">
      <c r="V759" s="67">
        <v>757</v>
      </c>
      <c r="W759" s="63" t="s">
        <v>56</v>
      </c>
      <c r="X759" s="64" t="s">
        <v>2047</v>
      </c>
      <c r="Y759" s="64">
        <v>3080</v>
      </c>
    </row>
    <row r="760" spans="22:25" x14ac:dyDescent="0.35">
      <c r="V760" s="67">
        <v>758</v>
      </c>
      <c r="W760" s="63" t="s">
        <v>56</v>
      </c>
      <c r="X760" s="64" t="s">
        <v>2046</v>
      </c>
      <c r="Y760" s="64">
        <v>10407</v>
      </c>
    </row>
    <row r="761" spans="22:25" x14ac:dyDescent="0.35">
      <c r="V761" s="67">
        <v>759</v>
      </c>
      <c r="W761" s="63" t="s">
        <v>56</v>
      </c>
      <c r="X761" s="64" t="s">
        <v>1846</v>
      </c>
      <c r="Y761" s="64">
        <v>2728</v>
      </c>
    </row>
    <row r="762" spans="22:25" x14ac:dyDescent="0.35">
      <c r="V762" s="67">
        <v>760</v>
      </c>
      <c r="W762" s="63" t="s">
        <v>56</v>
      </c>
      <c r="X762" s="64" t="s">
        <v>2045</v>
      </c>
      <c r="Y762" s="64">
        <v>3524</v>
      </c>
    </row>
    <row r="763" spans="22:25" x14ac:dyDescent="0.35">
      <c r="V763" s="67">
        <v>761</v>
      </c>
      <c r="W763" s="63" t="s">
        <v>56</v>
      </c>
      <c r="X763" s="64" t="s">
        <v>2044</v>
      </c>
      <c r="Y763" s="64">
        <v>3081</v>
      </c>
    </row>
    <row r="764" spans="22:25" x14ac:dyDescent="0.35">
      <c r="V764" s="67">
        <v>762</v>
      </c>
      <c r="W764" s="63" t="s">
        <v>56</v>
      </c>
      <c r="X764" s="64" t="s">
        <v>2043</v>
      </c>
      <c r="Y764" s="64">
        <v>3082</v>
      </c>
    </row>
    <row r="765" spans="22:25" x14ac:dyDescent="0.35">
      <c r="V765" s="67">
        <v>763</v>
      </c>
      <c r="W765" s="63" t="s">
        <v>56</v>
      </c>
      <c r="X765" s="64" t="s">
        <v>2042</v>
      </c>
      <c r="Y765" s="64">
        <v>3526</v>
      </c>
    </row>
    <row r="766" spans="22:25" x14ac:dyDescent="0.35">
      <c r="V766" s="67">
        <v>764</v>
      </c>
      <c r="W766" s="63" t="s">
        <v>56</v>
      </c>
      <c r="X766" s="64" t="s">
        <v>2041</v>
      </c>
      <c r="Y766" s="64">
        <v>10101</v>
      </c>
    </row>
    <row r="767" spans="22:25" x14ac:dyDescent="0.35">
      <c r="V767" s="67">
        <v>765</v>
      </c>
      <c r="W767" s="63" t="s">
        <v>56</v>
      </c>
      <c r="X767" s="64" t="s">
        <v>2039</v>
      </c>
      <c r="Y767" s="64">
        <v>3528</v>
      </c>
    </row>
    <row r="768" spans="22:25" x14ac:dyDescent="0.35">
      <c r="V768" s="67">
        <v>766</v>
      </c>
      <c r="W768" s="63" t="s">
        <v>56</v>
      </c>
      <c r="X768" s="64" t="s">
        <v>2038</v>
      </c>
      <c r="Y768" s="64">
        <v>8306</v>
      </c>
    </row>
    <row r="769" spans="22:25" x14ac:dyDescent="0.35">
      <c r="V769" s="67">
        <v>767</v>
      </c>
      <c r="W769" s="63" t="s">
        <v>56</v>
      </c>
      <c r="X769" s="64" t="s">
        <v>2037</v>
      </c>
      <c r="Y769" s="64">
        <v>3529</v>
      </c>
    </row>
    <row r="770" spans="22:25" x14ac:dyDescent="0.35">
      <c r="V770" s="67">
        <v>768</v>
      </c>
      <c r="W770" s="63" t="s">
        <v>56</v>
      </c>
      <c r="X770" s="64" t="s">
        <v>2036</v>
      </c>
      <c r="Y770" s="64">
        <v>3530</v>
      </c>
    </row>
    <row r="771" spans="22:25" x14ac:dyDescent="0.35">
      <c r="V771" s="67">
        <v>769</v>
      </c>
      <c r="W771" s="63" t="s">
        <v>56</v>
      </c>
      <c r="X771" s="64" t="s">
        <v>2092</v>
      </c>
      <c r="Y771" s="64">
        <v>3055</v>
      </c>
    </row>
    <row r="772" spans="22:25" x14ac:dyDescent="0.35">
      <c r="V772" s="67">
        <v>770</v>
      </c>
      <c r="W772" s="63" t="s">
        <v>56</v>
      </c>
      <c r="X772" s="64" t="s">
        <v>2034</v>
      </c>
      <c r="Y772" s="64">
        <v>3532</v>
      </c>
    </row>
    <row r="773" spans="22:25" x14ac:dyDescent="0.35">
      <c r="V773" s="67">
        <v>771</v>
      </c>
      <c r="W773" s="63" t="s">
        <v>56</v>
      </c>
      <c r="X773" s="64" t="s">
        <v>2033</v>
      </c>
      <c r="Y773" s="64">
        <v>3084</v>
      </c>
    </row>
    <row r="774" spans="22:25" x14ac:dyDescent="0.35">
      <c r="V774" s="67">
        <v>772</v>
      </c>
      <c r="W774" s="63" t="s">
        <v>56</v>
      </c>
      <c r="X774" s="64" t="s">
        <v>2032</v>
      </c>
      <c r="Y774" s="64">
        <v>3087</v>
      </c>
    </row>
    <row r="775" spans="22:25" x14ac:dyDescent="0.35">
      <c r="V775" s="67">
        <v>773</v>
      </c>
      <c r="W775" s="63" t="s">
        <v>56</v>
      </c>
      <c r="X775" s="64" t="s">
        <v>2031</v>
      </c>
      <c r="Y775" s="64">
        <v>3093</v>
      </c>
    </row>
    <row r="776" spans="22:25" x14ac:dyDescent="0.35">
      <c r="V776" s="67">
        <v>774</v>
      </c>
      <c r="W776" s="63" t="s">
        <v>56</v>
      </c>
      <c r="X776" s="64" t="s">
        <v>1204</v>
      </c>
      <c r="Y776" s="64">
        <v>3094</v>
      </c>
    </row>
    <row r="777" spans="22:25" x14ac:dyDescent="0.35">
      <c r="V777" s="67">
        <v>775</v>
      </c>
      <c r="W777" s="63" t="s">
        <v>56</v>
      </c>
      <c r="X777" s="64" t="s">
        <v>2028</v>
      </c>
      <c r="Y777" s="64">
        <v>3534</v>
      </c>
    </row>
    <row r="778" spans="22:25" x14ac:dyDescent="0.35">
      <c r="V778" s="67">
        <v>776</v>
      </c>
      <c r="W778" s="63" t="s">
        <v>56</v>
      </c>
      <c r="X778" s="64" t="s">
        <v>2027</v>
      </c>
      <c r="Y778" s="64">
        <v>8310</v>
      </c>
    </row>
    <row r="779" spans="22:25" x14ac:dyDescent="0.35">
      <c r="V779" s="67">
        <v>777</v>
      </c>
      <c r="W779" s="63" t="s">
        <v>56</v>
      </c>
      <c r="X779" s="64" t="s">
        <v>2026</v>
      </c>
      <c r="Y779" s="64">
        <v>3536</v>
      </c>
    </row>
    <row r="780" spans="22:25" x14ac:dyDescent="0.35">
      <c r="V780" s="67">
        <v>778</v>
      </c>
      <c r="W780" s="63" t="s">
        <v>56</v>
      </c>
      <c r="X780" s="64" t="s">
        <v>2025</v>
      </c>
      <c r="Y780" s="64">
        <v>8271</v>
      </c>
    </row>
    <row r="781" spans="22:25" x14ac:dyDescent="0.35">
      <c r="V781" s="67">
        <v>779</v>
      </c>
      <c r="W781" s="63" t="s">
        <v>56</v>
      </c>
      <c r="X781" s="64" t="s">
        <v>2024</v>
      </c>
      <c r="Y781" s="64">
        <v>3100</v>
      </c>
    </row>
    <row r="782" spans="22:25" x14ac:dyDescent="0.35">
      <c r="V782" s="67">
        <v>780</v>
      </c>
      <c r="W782" s="63" t="s">
        <v>56</v>
      </c>
      <c r="X782" s="64" t="s">
        <v>2023</v>
      </c>
      <c r="Y782" s="64">
        <v>3101</v>
      </c>
    </row>
    <row r="783" spans="22:25" x14ac:dyDescent="0.35">
      <c r="V783" s="67">
        <v>781</v>
      </c>
      <c r="W783" s="63" t="s">
        <v>56</v>
      </c>
      <c r="X783" s="64" t="s">
        <v>2022</v>
      </c>
      <c r="Y783" s="64">
        <v>10326</v>
      </c>
    </row>
    <row r="784" spans="22:25" ht="26" x14ac:dyDescent="0.35">
      <c r="V784" s="67">
        <v>782</v>
      </c>
      <c r="W784" s="63" t="s">
        <v>56</v>
      </c>
      <c r="X784" s="64" t="s">
        <v>2020</v>
      </c>
      <c r="Y784" s="64">
        <v>3480</v>
      </c>
    </row>
    <row r="785" spans="22:25" x14ac:dyDescent="0.35">
      <c r="V785" s="67">
        <v>783</v>
      </c>
      <c r="W785" s="63" t="s">
        <v>56</v>
      </c>
      <c r="X785" s="64" t="s">
        <v>2019</v>
      </c>
      <c r="Y785" s="64">
        <v>3104</v>
      </c>
    </row>
    <row r="786" spans="22:25" x14ac:dyDescent="0.35">
      <c r="V786" s="67">
        <v>784</v>
      </c>
      <c r="W786" s="63" t="s">
        <v>56</v>
      </c>
      <c r="X786" s="64" t="s">
        <v>2018</v>
      </c>
      <c r="Y786" s="64">
        <v>3105</v>
      </c>
    </row>
    <row r="787" spans="22:25" x14ac:dyDescent="0.35">
      <c r="V787" s="67">
        <v>785</v>
      </c>
      <c r="W787" s="63" t="s">
        <v>56</v>
      </c>
      <c r="X787" s="64" t="s">
        <v>2017</v>
      </c>
      <c r="Y787" s="64">
        <v>3544</v>
      </c>
    </row>
    <row r="788" spans="22:25" x14ac:dyDescent="0.35">
      <c r="V788" s="67">
        <v>786</v>
      </c>
      <c r="W788" s="63" t="s">
        <v>56</v>
      </c>
      <c r="X788" s="64" t="s">
        <v>2016</v>
      </c>
      <c r="Y788" s="64">
        <v>10198</v>
      </c>
    </row>
    <row r="789" spans="22:25" x14ac:dyDescent="0.35">
      <c r="V789" s="67">
        <v>787</v>
      </c>
      <c r="W789" s="63" t="s">
        <v>56</v>
      </c>
      <c r="X789" s="64" t="s">
        <v>2014</v>
      </c>
      <c r="Y789" s="64">
        <v>3547</v>
      </c>
    </row>
    <row r="790" spans="22:25" x14ac:dyDescent="0.35">
      <c r="V790" s="67">
        <v>788</v>
      </c>
      <c r="W790" s="63" t="s">
        <v>56</v>
      </c>
      <c r="X790" s="64" t="s">
        <v>2013</v>
      </c>
      <c r="Y790" s="64">
        <v>8296</v>
      </c>
    </row>
    <row r="791" spans="22:25" x14ac:dyDescent="0.35">
      <c r="V791" s="67">
        <v>789</v>
      </c>
      <c r="W791" s="63" t="s">
        <v>56</v>
      </c>
      <c r="X791" s="64" t="s">
        <v>2011</v>
      </c>
      <c r="Y791" s="64">
        <v>3109</v>
      </c>
    </row>
    <row r="792" spans="22:25" x14ac:dyDescent="0.35">
      <c r="V792" s="67">
        <v>790</v>
      </c>
      <c r="W792" s="63" t="s">
        <v>56</v>
      </c>
      <c r="X792" s="64" t="s">
        <v>2010</v>
      </c>
      <c r="Y792" s="64">
        <v>10408</v>
      </c>
    </row>
    <row r="793" spans="22:25" ht="26" x14ac:dyDescent="0.35">
      <c r="V793" s="67">
        <v>791</v>
      </c>
      <c r="W793" s="63" t="s">
        <v>56</v>
      </c>
      <c r="X793" s="64" t="s">
        <v>2009</v>
      </c>
      <c r="Y793" s="64">
        <v>3111</v>
      </c>
    </row>
    <row r="794" spans="22:25" x14ac:dyDescent="0.35">
      <c r="V794" s="67">
        <v>792</v>
      </c>
      <c r="W794" s="63" t="s">
        <v>56</v>
      </c>
      <c r="X794" s="64" t="s">
        <v>2008</v>
      </c>
      <c r="Y794" s="64">
        <v>8347</v>
      </c>
    </row>
    <row r="795" spans="22:25" x14ac:dyDescent="0.35">
      <c r="V795" s="67">
        <v>793</v>
      </c>
      <c r="W795" s="63" t="s">
        <v>56</v>
      </c>
      <c r="X795" s="64" t="s">
        <v>2007</v>
      </c>
      <c r="Y795" s="64">
        <v>3112</v>
      </c>
    </row>
    <row r="796" spans="22:25" x14ac:dyDescent="0.35">
      <c r="V796" s="67">
        <v>794</v>
      </c>
      <c r="W796" s="63" t="s">
        <v>56</v>
      </c>
      <c r="X796" s="64" t="s">
        <v>1207</v>
      </c>
      <c r="Y796" s="64">
        <v>8236</v>
      </c>
    </row>
    <row r="797" spans="22:25" x14ac:dyDescent="0.35">
      <c r="V797" s="67">
        <v>795</v>
      </c>
      <c r="W797" s="63" t="s">
        <v>56</v>
      </c>
      <c r="X797" s="64" t="s">
        <v>2006</v>
      </c>
      <c r="Y797" s="64">
        <v>10610</v>
      </c>
    </row>
    <row r="798" spans="22:25" x14ac:dyDescent="0.35">
      <c r="V798" s="67">
        <v>796</v>
      </c>
      <c r="W798" s="63" t="s">
        <v>56</v>
      </c>
      <c r="X798" s="64" t="s">
        <v>2005</v>
      </c>
      <c r="Y798" s="64">
        <v>3113</v>
      </c>
    </row>
    <row r="799" spans="22:25" x14ac:dyDescent="0.35">
      <c r="V799" s="67">
        <v>797</v>
      </c>
      <c r="W799" s="63" t="s">
        <v>56</v>
      </c>
      <c r="X799" s="64" t="s">
        <v>1903</v>
      </c>
      <c r="Y799" s="64">
        <v>3273</v>
      </c>
    </row>
    <row r="800" spans="22:25" x14ac:dyDescent="0.35">
      <c r="V800" s="67">
        <v>798</v>
      </c>
      <c r="W800" s="63" t="s">
        <v>56</v>
      </c>
      <c r="X800" s="64" t="s">
        <v>2004</v>
      </c>
      <c r="Y800" s="64">
        <v>10170</v>
      </c>
    </row>
    <row r="801" spans="22:25" x14ac:dyDescent="0.35">
      <c r="V801" s="67">
        <v>799</v>
      </c>
      <c r="W801" s="63" t="s">
        <v>56</v>
      </c>
      <c r="X801" s="64" t="s">
        <v>2003</v>
      </c>
      <c r="Y801" s="64">
        <v>10470</v>
      </c>
    </row>
    <row r="802" spans="22:25" x14ac:dyDescent="0.35">
      <c r="V802" s="67">
        <v>800</v>
      </c>
      <c r="W802" s="63" t="s">
        <v>56</v>
      </c>
      <c r="X802" s="64" t="s">
        <v>1208</v>
      </c>
      <c r="Y802" s="64">
        <v>11249</v>
      </c>
    </row>
    <row r="803" spans="22:25" x14ac:dyDescent="0.35">
      <c r="V803" s="67">
        <v>801</v>
      </c>
      <c r="W803" s="63" t="s">
        <v>56</v>
      </c>
      <c r="X803" s="64" t="s">
        <v>1894</v>
      </c>
      <c r="Y803" s="64">
        <v>3555</v>
      </c>
    </row>
    <row r="804" spans="22:25" x14ac:dyDescent="0.35">
      <c r="V804" s="67">
        <v>802</v>
      </c>
      <c r="W804" s="63" t="s">
        <v>56</v>
      </c>
      <c r="X804" s="64" t="s">
        <v>1893</v>
      </c>
      <c r="Y804" s="64">
        <v>10071</v>
      </c>
    </row>
    <row r="805" spans="22:25" x14ac:dyDescent="0.35">
      <c r="V805" s="67">
        <v>803</v>
      </c>
      <c r="W805" s="63" t="s">
        <v>56</v>
      </c>
      <c r="X805" s="64" t="s">
        <v>1892</v>
      </c>
      <c r="Y805" s="64">
        <v>3556</v>
      </c>
    </row>
    <row r="806" spans="22:25" x14ac:dyDescent="0.35">
      <c r="V806" s="67">
        <v>804</v>
      </c>
      <c r="W806" s="63" t="s">
        <v>56</v>
      </c>
      <c r="X806" s="64" t="s">
        <v>1891</v>
      </c>
      <c r="Y806" s="64">
        <v>3557</v>
      </c>
    </row>
    <row r="807" spans="22:25" x14ac:dyDescent="0.35">
      <c r="V807" s="67">
        <v>805</v>
      </c>
      <c r="W807" s="63" t="s">
        <v>56</v>
      </c>
      <c r="X807" s="64" t="s">
        <v>1889</v>
      </c>
      <c r="Y807" s="64">
        <v>3558</v>
      </c>
    </row>
    <row r="808" spans="22:25" x14ac:dyDescent="0.35">
      <c r="V808" s="67">
        <v>806</v>
      </c>
      <c r="W808" s="63" t="s">
        <v>56</v>
      </c>
      <c r="X808" s="64" t="s">
        <v>1888</v>
      </c>
      <c r="Y808" s="64">
        <v>3115</v>
      </c>
    </row>
    <row r="809" spans="22:25" x14ac:dyDescent="0.35">
      <c r="V809" s="67">
        <v>807</v>
      </c>
      <c r="W809" s="63" t="s">
        <v>56</v>
      </c>
      <c r="X809" s="64" t="s">
        <v>1793</v>
      </c>
      <c r="Y809" s="64">
        <v>2701</v>
      </c>
    </row>
    <row r="810" spans="22:25" x14ac:dyDescent="0.35">
      <c r="V810" s="67">
        <v>808</v>
      </c>
      <c r="W810" s="63" t="s">
        <v>56</v>
      </c>
      <c r="X810" s="64" t="s">
        <v>1887</v>
      </c>
      <c r="Y810" s="64">
        <v>3120</v>
      </c>
    </row>
    <row r="811" spans="22:25" x14ac:dyDescent="0.35">
      <c r="V811" s="67">
        <v>809</v>
      </c>
      <c r="W811" s="63" t="s">
        <v>56</v>
      </c>
      <c r="X811" s="64" t="s">
        <v>1209</v>
      </c>
      <c r="Y811" s="64">
        <v>3559</v>
      </c>
    </row>
    <row r="812" spans="22:25" x14ac:dyDescent="0.35">
      <c r="V812" s="67">
        <v>810</v>
      </c>
      <c r="W812" s="63" t="s">
        <v>56</v>
      </c>
      <c r="X812" s="64" t="s">
        <v>1886</v>
      </c>
      <c r="Y812" s="64">
        <v>3560</v>
      </c>
    </row>
    <row r="813" spans="22:25" x14ac:dyDescent="0.35">
      <c r="V813" s="67">
        <v>811</v>
      </c>
      <c r="W813" s="63" t="s">
        <v>56</v>
      </c>
      <c r="X813" s="64" t="s">
        <v>1895</v>
      </c>
      <c r="Y813" s="64">
        <v>3554</v>
      </c>
    </row>
    <row r="814" spans="22:25" x14ac:dyDescent="0.35">
      <c r="V814" s="67">
        <v>812</v>
      </c>
      <c r="W814" s="63" t="s">
        <v>56</v>
      </c>
      <c r="X814" s="64" t="s">
        <v>1885</v>
      </c>
      <c r="Y814" s="64">
        <v>10158</v>
      </c>
    </row>
    <row r="815" spans="22:25" x14ac:dyDescent="0.35">
      <c r="V815" s="67">
        <v>813</v>
      </c>
      <c r="W815" s="63" t="s">
        <v>56</v>
      </c>
      <c r="X815" s="64" t="s">
        <v>1884</v>
      </c>
      <c r="Y815" s="64">
        <v>10169</v>
      </c>
    </row>
    <row r="816" spans="22:25" x14ac:dyDescent="0.35">
      <c r="V816" s="67">
        <v>814</v>
      </c>
      <c r="W816" s="63" t="s">
        <v>56</v>
      </c>
      <c r="X816" s="64" t="s">
        <v>1883</v>
      </c>
      <c r="Y816" s="64">
        <v>3123</v>
      </c>
    </row>
    <row r="817" spans="22:25" x14ac:dyDescent="0.35">
      <c r="V817" s="67">
        <v>815</v>
      </c>
      <c r="W817" s="63" t="s">
        <v>56</v>
      </c>
      <c r="X817" s="64" t="s">
        <v>1882</v>
      </c>
      <c r="Y817" s="64">
        <v>10105</v>
      </c>
    </row>
    <row r="818" spans="22:25" x14ac:dyDescent="0.35">
      <c r="V818" s="67">
        <v>816</v>
      </c>
      <c r="W818" s="63" t="s">
        <v>56</v>
      </c>
      <c r="X818" s="64" t="s">
        <v>1880</v>
      </c>
      <c r="Y818" s="64">
        <v>3565</v>
      </c>
    </row>
    <row r="819" spans="22:25" x14ac:dyDescent="0.35">
      <c r="V819" s="67">
        <v>817</v>
      </c>
      <c r="W819" s="63" t="s">
        <v>56</v>
      </c>
      <c r="X819" s="64" t="s">
        <v>1879</v>
      </c>
      <c r="Y819" s="64">
        <v>3125</v>
      </c>
    </row>
    <row r="820" spans="22:25" x14ac:dyDescent="0.35">
      <c r="V820" s="67">
        <v>818</v>
      </c>
      <c r="W820" s="63" t="s">
        <v>56</v>
      </c>
      <c r="X820" s="64" t="s">
        <v>1878</v>
      </c>
      <c r="Y820" s="64">
        <v>3566</v>
      </c>
    </row>
    <row r="821" spans="22:25" x14ac:dyDescent="0.35">
      <c r="V821" s="67">
        <v>819</v>
      </c>
      <c r="W821" s="63" t="s">
        <v>56</v>
      </c>
      <c r="X821" s="64" t="s">
        <v>2324</v>
      </c>
      <c r="Y821" s="64">
        <v>3493</v>
      </c>
    </row>
    <row r="822" spans="22:25" x14ac:dyDescent="0.35">
      <c r="V822" s="67">
        <v>820</v>
      </c>
      <c r="W822" s="63" t="s">
        <v>56</v>
      </c>
      <c r="X822" s="64" t="s">
        <v>1877</v>
      </c>
      <c r="Y822" s="64">
        <v>3568</v>
      </c>
    </row>
    <row r="823" spans="22:25" x14ac:dyDescent="0.35">
      <c r="V823" s="67">
        <v>821</v>
      </c>
      <c r="W823" s="63" t="s">
        <v>56</v>
      </c>
      <c r="X823" s="64" t="s">
        <v>1876</v>
      </c>
      <c r="Y823" s="64">
        <v>3569</v>
      </c>
    </row>
    <row r="824" spans="22:25" x14ac:dyDescent="0.35">
      <c r="V824" s="67">
        <v>822</v>
      </c>
      <c r="W824" s="63" t="s">
        <v>56</v>
      </c>
      <c r="X824" s="64" t="s">
        <v>1875</v>
      </c>
      <c r="Y824" s="64">
        <v>3570</v>
      </c>
    </row>
    <row r="825" spans="22:25" x14ac:dyDescent="0.35">
      <c r="V825" s="67">
        <v>823</v>
      </c>
      <c r="W825" s="63" t="s">
        <v>56</v>
      </c>
      <c r="X825" s="64" t="s">
        <v>1873</v>
      </c>
      <c r="Y825" s="64">
        <v>8173</v>
      </c>
    </row>
    <row r="826" spans="22:25" x14ac:dyDescent="0.35">
      <c r="V826" s="67">
        <v>824</v>
      </c>
      <c r="W826" s="63" t="s">
        <v>56</v>
      </c>
      <c r="X826" s="64" t="s">
        <v>1872</v>
      </c>
      <c r="Y826" s="64">
        <v>10376</v>
      </c>
    </row>
    <row r="827" spans="22:25" x14ac:dyDescent="0.35">
      <c r="V827" s="67">
        <v>825</v>
      </c>
      <c r="W827" s="63" t="s">
        <v>56</v>
      </c>
      <c r="X827" s="64" t="s">
        <v>1870</v>
      </c>
      <c r="Y827" s="64">
        <v>3130</v>
      </c>
    </row>
    <row r="828" spans="22:25" x14ac:dyDescent="0.35">
      <c r="V828" s="67">
        <v>826</v>
      </c>
      <c r="W828" s="63" t="s">
        <v>56</v>
      </c>
      <c r="X828" s="64" t="s">
        <v>1871</v>
      </c>
      <c r="Y828" s="64">
        <v>10096</v>
      </c>
    </row>
    <row r="829" spans="22:25" x14ac:dyDescent="0.35">
      <c r="V829" s="67">
        <v>827</v>
      </c>
      <c r="W829" s="63" t="s">
        <v>56</v>
      </c>
      <c r="X829" s="64" t="s">
        <v>1869</v>
      </c>
      <c r="Y829" s="64">
        <v>3131</v>
      </c>
    </row>
    <row r="830" spans="22:25" x14ac:dyDescent="0.35">
      <c r="V830" s="67">
        <v>828</v>
      </c>
      <c r="W830" s="63" t="s">
        <v>56</v>
      </c>
      <c r="X830" s="64" t="s">
        <v>1868</v>
      </c>
      <c r="Y830" s="64">
        <v>10161</v>
      </c>
    </row>
    <row r="831" spans="22:25" x14ac:dyDescent="0.35">
      <c r="V831" s="67">
        <v>829</v>
      </c>
      <c r="W831" s="63" t="s">
        <v>56</v>
      </c>
      <c r="X831" s="64" t="s">
        <v>1867</v>
      </c>
      <c r="Y831" s="64">
        <v>3573</v>
      </c>
    </row>
    <row r="832" spans="22:25" x14ac:dyDescent="0.35">
      <c r="V832" s="67">
        <v>830</v>
      </c>
      <c r="W832" s="63" t="s">
        <v>56</v>
      </c>
      <c r="X832" s="64" t="s">
        <v>2029</v>
      </c>
      <c r="Y832" s="64">
        <v>3097</v>
      </c>
    </row>
    <row r="833" spans="22:25" x14ac:dyDescent="0.35">
      <c r="V833" s="67">
        <v>831</v>
      </c>
      <c r="W833" s="63" t="s">
        <v>56</v>
      </c>
      <c r="X833" s="64" t="s">
        <v>1866</v>
      </c>
      <c r="Y833" s="64">
        <v>10378</v>
      </c>
    </row>
    <row r="834" spans="22:25" x14ac:dyDescent="0.35">
      <c r="V834" s="67">
        <v>832</v>
      </c>
      <c r="W834" s="63" t="s">
        <v>56</v>
      </c>
      <c r="X834" s="64" t="s">
        <v>1865</v>
      </c>
      <c r="Y834" s="64">
        <v>3576</v>
      </c>
    </row>
    <row r="835" spans="22:25" x14ac:dyDescent="0.35">
      <c r="V835" s="67">
        <v>833</v>
      </c>
      <c r="W835" s="63" t="s">
        <v>56</v>
      </c>
      <c r="X835" s="64" t="s">
        <v>1864</v>
      </c>
      <c r="Y835" s="64">
        <v>10329</v>
      </c>
    </row>
    <row r="836" spans="22:25" x14ac:dyDescent="0.35">
      <c r="V836" s="67">
        <v>834</v>
      </c>
      <c r="W836" s="63" t="s">
        <v>56</v>
      </c>
      <c r="X836" s="64" t="s">
        <v>1983</v>
      </c>
      <c r="Y836" s="64">
        <v>2771</v>
      </c>
    </row>
    <row r="837" spans="22:25" x14ac:dyDescent="0.35">
      <c r="V837" s="67">
        <v>835</v>
      </c>
      <c r="W837" s="63" t="s">
        <v>56</v>
      </c>
      <c r="X837" s="64" t="s">
        <v>1863</v>
      </c>
      <c r="Y837" s="64">
        <v>10379</v>
      </c>
    </row>
    <row r="838" spans="22:25" x14ac:dyDescent="0.35">
      <c r="V838" s="67">
        <v>836</v>
      </c>
      <c r="W838" s="63" t="s">
        <v>56</v>
      </c>
      <c r="X838" s="64" t="s">
        <v>1862</v>
      </c>
      <c r="Y838" s="64">
        <v>8178</v>
      </c>
    </row>
    <row r="839" spans="22:25" ht="26" x14ac:dyDescent="0.35">
      <c r="V839" s="67">
        <v>837</v>
      </c>
      <c r="W839" s="63" t="s">
        <v>56</v>
      </c>
      <c r="X839" s="64" t="s">
        <v>1768</v>
      </c>
      <c r="Y839" s="64">
        <v>10134</v>
      </c>
    </row>
    <row r="840" spans="22:25" x14ac:dyDescent="0.35">
      <c r="V840" s="67">
        <v>838</v>
      </c>
      <c r="W840" s="63" t="s">
        <v>56</v>
      </c>
      <c r="X840" s="64" t="s">
        <v>1861</v>
      </c>
      <c r="Y840" s="64">
        <v>3579</v>
      </c>
    </row>
    <row r="841" spans="22:25" x14ac:dyDescent="0.35">
      <c r="V841" s="67">
        <v>839</v>
      </c>
      <c r="W841" s="63" t="s">
        <v>56</v>
      </c>
      <c r="X841" s="64" t="s">
        <v>1740</v>
      </c>
      <c r="Y841" s="64">
        <v>2671</v>
      </c>
    </row>
    <row r="842" spans="22:25" x14ac:dyDescent="0.35">
      <c r="V842" s="67">
        <v>840</v>
      </c>
      <c r="W842" s="63" t="s">
        <v>56</v>
      </c>
      <c r="X842" s="64" t="s">
        <v>1860</v>
      </c>
      <c r="Y842" s="64">
        <v>10062</v>
      </c>
    </row>
    <row r="843" spans="22:25" x14ac:dyDescent="0.35">
      <c r="V843" s="67">
        <v>841</v>
      </c>
      <c r="W843" s="63" t="s">
        <v>56</v>
      </c>
      <c r="X843" s="64" t="s">
        <v>1858</v>
      </c>
      <c r="Y843" s="64">
        <v>3581</v>
      </c>
    </row>
    <row r="844" spans="22:25" x14ac:dyDescent="0.35">
      <c r="V844" s="67">
        <v>842</v>
      </c>
      <c r="W844" s="63" t="s">
        <v>56</v>
      </c>
      <c r="X844" s="64" t="s">
        <v>1857</v>
      </c>
      <c r="Y844" s="64">
        <v>3582</v>
      </c>
    </row>
    <row r="845" spans="22:25" x14ac:dyDescent="0.35">
      <c r="V845" s="67">
        <v>843</v>
      </c>
      <c r="W845" s="63" t="s">
        <v>56</v>
      </c>
      <c r="X845" s="64" t="s">
        <v>1855</v>
      </c>
      <c r="Y845" s="64">
        <v>3583</v>
      </c>
    </row>
    <row r="846" spans="22:25" ht="26" x14ac:dyDescent="0.35">
      <c r="V846" s="67">
        <v>844</v>
      </c>
      <c r="W846" s="63" t="s">
        <v>56</v>
      </c>
      <c r="X846" s="64" t="s">
        <v>1856</v>
      </c>
      <c r="Y846" s="64">
        <v>10189</v>
      </c>
    </row>
    <row r="847" spans="22:25" x14ac:dyDescent="0.35">
      <c r="V847" s="67">
        <v>845</v>
      </c>
      <c r="W847" s="63" t="s">
        <v>56</v>
      </c>
      <c r="X847" s="64" t="s">
        <v>1210</v>
      </c>
      <c r="Y847" s="64">
        <v>3584</v>
      </c>
    </row>
    <row r="848" spans="22:25" x14ac:dyDescent="0.35">
      <c r="V848" s="67">
        <v>846</v>
      </c>
      <c r="W848" s="63" t="s">
        <v>56</v>
      </c>
      <c r="X848" s="64" t="s">
        <v>1854</v>
      </c>
      <c r="Y848" s="64">
        <v>3136</v>
      </c>
    </row>
    <row r="849" spans="22:25" x14ac:dyDescent="0.35">
      <c r="V849" s="67">
        <v>847</v>
      </c>
      <c r="W849" s="63" t="s">
        <v>56</v>
      </c>
      <c r="X849" s="64" t="s">
        <v>1853</v>
      </c>
      <c r="Y849" s="64">
        <v>10330</v>
      </c>
    </row>
    <row r="850" spans="22:25" x14ac:dyDescent="0.35">
      <c r="V850" s="67">
        <v>848</v>
      </c>
      <c r="W850" s="63" t="s">
        <v>56</v>
      </c>
      <c r="X850" s="64" t="s">
        <v>1561</v>
      </c>
      <c r="Y850" s="64">
        <v>3137</v>
      </c>
    </row>
    <row r="851" spans="22:25" x14ac:dyDescent="0.35">
      <c r="V851" s="67">
        <v>849</v>
      </c>
      <c r="W851" s="63" t="s">
        <v>56</v>
      </c>
      <c r="X851" s="64" t="s">
        <v>1852</v>
      </c>
      <c r="Y851" s="64">
        <v>10380</v>
      </c>
    </row>
    <row r="852" spans="22:25" ht="39" x14ac:dyDescent="0.35">
      <c r="V852" s="67">
        <v>850</v>
      </c>
      <c r="W852" s="63" t="s">
        <v>2691</v>
      </c>
      <c r="X852" s="64" t="s">
        <v>1234</v>
      </c>
      <c r="Y852" s="64">
        <v>11274</v>
      </c>
    </row>
    <row r="853" spans="22:25" ht="39" x14ac:dyDescent="0.35">
      <c r="V853" s="67">
        <v>851</v>
      </c>
      <c r="W853" s="63" t="s">
        <v>2691</v>
      </c>
      <c r="X853" s="64" t="s">
        <v>1235</v>
      </c>
      <c r="Y853" s="64">
        <v>11275</v>
      </c>
    </row>
    <row r="854" spans="22:25" ht="39" x14ac:dyDescent="0.35">
      <c r="V854" s="67">
        <v>852</v>
      </c>
      <c r="W854" s="63" t="s">
        <v>2691</v>
      </c>
      <c r="X854" s="64" t="s">
        <v>1236</v>
      </c>
      <c r="Y854" s="64">
        <v>10230</v>
      </c>
    </row>
    <row r="855" spans="22:25" ht="39" x14ac:dyDescent="0.35">
      <c r="V855" s="67">
        <v>853</v>
      </c>
      <c r="W855" s="63" t="s">
        <v>2691</v>
      </c>
      <c r="X855" s="64" t="s">
        <v>1238</v>
      </c>
      <c r="Y855" s="64">
        <v>11258</v>
      </c>
    </row>
    <row r="856" spans="22:25" ht="39" x14ac:dyDescent="0.35">
      <c r="V856" s="67">
        <v>854</v>
      </c>
      <c r="W856" s="63" t="s">
        <v>2691</v>
      </c>
      <c r="X856" s="64" t="s">
        <v>1237</v>
      </c>
      <c r="Y856" s="64">
        <v>11276</v>
      </c>
    </row>
    <row r="857" spans="22:25" ht="26" x14ac:dyDescent="0.35">
      <c r="V857" s="67">
        <v>855</v>
      </c>
      <c r="W857" s="63" t="s">
        <v>1146</v>
      </c>
      <c r="X857" s="64" t="s">
        <v>2650</v>
      </c>
      <c r="Y857" s="64">
        <v>11814</v>
      </c>
    </row>
    <row r="858" spans="22:25" ht="26" x14ac:dyDescent="0.35">
      <c r="V858" s="67">
        <v>856</v>
      </c>
      <c r="W858" s="63" t="s">
        <v>1146</v>
      </c>
      <c r="X858" s="64" t="s">
        <v>2651</v>
      </c>
      <c r="Y858" s="64">
        <v>11815</v>
      </c>
    </row>
    <row r="859" spans="22:25" ht="26" x14ac:dyDescent="0.35">
      <c r="V859" s="67">
        <v>857</v>
      </c>
      <c r="W859" s="63" t="s">
        <v>1146</v>
      </c>
      <c r="X859" s="64" t="s">
        <v>1211</v>
      </c>
      <c r="Y859" s="64">
        <v>2127</v>
      </c>
    </row>
    <row r="860" spans="22:25" ht="26" x14ac:dyDescent="0.35">
      <c r="V860" s="67">
        <v>858</v>
      </c>
      <c r="W860" s="63" t="s">
        <v>1146</v>
      </c>
      <c r="X860" s="64" t="s">
        <v>1147</v>
      </c>
      <c r="Y860" s="64">
        <v>11280</v>
      </c>
    </row>
    <row r="861" spans="22:25" ht="26" x14ac:dyDescent="0.35">
      <c r="V861" s="67">
        <v>859</v>
      </c>
      <c r="W861" s="63" t="s">
        <v>1146</v>
      </c>
      <c r="X861" s="64" t="s">
        <v>1149</v>
      </c>
      <c r="Y861" s="64">
        <v>11159</v>
      </c>
    </row>
    <row r="862" spans="22:25" ht="26" x14ac:dyDescent="0.35">
      <c r="V862" s="67">
        <v>860</v>
      </c>
      <c r="W862" s="63" t="s">
        <v>1146</v>
      </c>
      <c r="X862" s="64" t="s">
        <v>1212</v>
      </c>
      <c r="Y862" s="64">
        <v>11282</v>
      </c>
    </row>
    <row r="863" spans="22:25" ht="26" x14ac:dyDescent="0.35">
      <c r="V863" s="67">
        <v>861</v>
      </c>
      <c r="W863" s="63" t="s">
        <v>1146</v>
      </c>
      <c r="X863" s="64" t="s">
        <v>1151</v>
      </c>
      <c r="Y863" s="64">
        <v>10219</v>
      </c>
    </row>
    <row r="864" spans="22:25" ht="26" x14ac:dyDescent="0.35">
      <c r="V864" s="67">
        <v>862</v>
      </c>
      <c r="W864" s="63" t="s">
        <v>1146</v>
      </c>
      <c r="X864" s="64" t="s">
        <v>2652</v>
      </c>
      <c r="Y864" s="64">
        <v>11816</v>
      </c>
    </row>
    <row r="865" spans="22:25" ht="26" x14ac:dyDescent="0.35">
      <c r="V865" s="67">
        <v>863</v>
      </c>
      <c r="W865" s="63" t="s">
        <v>1146</v>
      </c>
      <c r="X865" s="64" t="s">
        <v>2654</v>
      </c>
      <c r="Y865" s="64">
        <v>11818</v>
      </c>
    </row>
    <row r="866" spans="22:25" ht="26" x14ac:dyDescent="0.35">
      <c r="V866" s="67">
        <v>864</v>
      </c>
      <c r="W866" s="63" t="s">
        <v>1146</v>
      </c>
      <c r="X866" s="64" t="s">
        <v>1213</v>
      </c>
      <c r="Y866" s="64">
        <v>8072</v>
      </c>
    </row>
    <row r="867" spans="22:25" ht="26" x14ac:dyDescent="0.35">
      <c r="V867" s="67">
        <v>865</v>
      </c>
      <c r="W867" s="63" t="s">
        <v>1146</v>
      </c>
      <c r="X867" s="64" t="s">
        <v>2653</v>
      </c>
      <c r="Y867" s="64">
        <v>11817</v>
      </c>
    </row>
    <row r="868" spans="22:25" ht="26" x14ac:dyDescent="0.35">
      <c r="V868" s="67">
        <v>866</v>
      </c>
      <c r="W868" s="63" t="s">
        <v>1146</v>
      </c>
      <c r="X868" s="64" t="s">
        <v>2655</v>
      </c>
      <c r="Y868" s="64">
        <v>11819</v>
      </c>
    </row>
    <row r="869" spans="22:25" ht="26" x14ac:dyDescent="0.35">
      <c r="V869" s="67">
        <v>867</v>
      </c>
      <c r="W869" s="63" t="s">
        <v>1146</v>
      </c>
      <c r="X869" s="64" t="s">
        <v>1215</v>
      </c>
      <c r="Y869" s="64">
        <v>11284</v>
      </c>
    </row>
    <row r="870" spans="22:25" ht="26" x14ac:dyDescent="0.35">
      <c r="V870" s="67">
        <v>868</v>
      </c>
      <c r="W870" s="63" t="s">
        <v>1146</v>
      </c>
      <c r="X870" s="64" t="s">
        <v>2656</v>
      </c>
      <c r="Y870" s="64">
        <v>11820</v>
      </c>
    </row>
    <row r="871" spans="22:25" ht="26" x14ac:dyDescent="0.35">
      <c r="V871" s="67">
        <v>869</v>
      </c>
      <c r="W871" s="63" t="s">
        <v>1146</v>
      </c>
      <c r="X871" s="64" t="s">
        <v>2657</v>
      </c>
      <c r="Y871" s="64">
        <v>11821</v>
      </c>
    </row>
    <row r="872" spans="22:25" ht="26" x14ac:dyDescent="0.35">
      <c r="V872" s="67">
        <v>870</v>
      </c>
      <c r="W872" s="63" t="s">
        <v>1146</v>
      </c>
      <c r="X872" s="64" t="s">
        <v>1216</v>
      </c>
      <c r="Y872" s="64">
        <v>11285</v>
      </c>
    </row>
    <row r="873" spans="22:25" ht="26" x14ac:dyDescent="0.35">
      <c r="V873" s="67">
        <v>871</v>
      </c>
      <c r="W873" s="63" t="s">
        <v>1146</v>
      </c>
      <c r="X873" s="64" t="s">
        <v>2658</v>
      </c>
      <c r="Y873" s="64">
        <v>11822</v>
      </c>
    </row>
    <row r="874" spans="22:25" ht="26" x14ac:dyDescent="0.35">
      <c r="V874" s="67">
        <v>872</v>
      </c>
      <c r="W874" s="63" t="s">
        <v>1146</v>
      </c>
      <c r="X874" s="64" t="s">
        <v>1217</v>
      </c>
      <c r="Y874" s="64">
        <v>8175</v>
      </c>
    </row>
    <row r="875" spans="22:25" ht="26" x14ac:dyDescent="0.35">
      <c r="V875" s="67">
        <v>873</v>
      </c>
      <c r="W875" s="63" t="s">
        <v>1146</v>
      </c>
      <c r="X875" s="64" t="s">
        <v>2659</v>
      </c>
      <c r="Y875" s="64">
        <v>11823</v>
      </c>
    </row>
    <row r="876" spans="22:25" ht="26" x14ac:dyDescent="0.35">
      <c r="V876" s="67">
        <v>874</v>
      </c>
      <c r="W876" s="63" t="s">
        <v>1146</v>
      </c>
      <c r="X876" s="64" t="s">
        <v>1218</v>
      </c>
      <c r="Y876" s="64">
        <v>11286</v>
      </c>
    </row>
    <row r="877" spans="22:25" ht="26" x14ac:dyDescent="0.35">
      <c r="V877" s="67">
        <v>875</v>
      </c>
      <c r="W877" s="63" t="s">
        <v>1146</v>
      </c>
      <c r="X877" s="64" t="s">
        <v>1153</v>
      </c>
      <c r="Y877" s="64">
        <v>11281</v>
      </c>
    </row>
    <row r="878" spans="22:25" ht="26" x14ac:dyDescent="0.35">
      <c r="V878" s="67">
        <v>876</v>
      </c>
      <c r="W878" s="63" t="s">
        <v>1146</v>
      </c>
      <c r="X878" s="64" t="s">
        <v>1219</v>
      </c>
      <c r="Y878" s="64">
        <v>10007</v>
      </c>
    </row>
    <row r="879" spans="22:25" ht="26" x14ac:dyDescent="0.35">
      <c r="V879" s="67">
        <v>877</v>
      </c>
      <c r="W879" s="63" t="s">
        <v>1146</v>
      </c>
      <c r="X879" s="64" t="s">
        <v>1220</v>
      </c>
      <c r="Y879" s="64">
        <v>11287</v>
      </c>
    </row>
    <row r="880" spans="22:25" ht="26" x14ac:dyDescent="0.35">
      <c r="V880" s="67">
        <v>878</v>
      </c>
      <c r="W880" s="63" t="s">
        <v>1146</v>
      </c>
      <c r="X880" s="64" t="s">
        <v>1155</v>
      </c>
      <c r="Y880" s="64">
        <v>11252</v>
      </c>
    </row>
    <row r="881" spans="22:25" ht="26" x14ac:dyDescent="0.35">
      <c r="V881" s="67">
        <v>879</v>
      </c>
      <c r="W881" s="63" t="s">
        <v>1146</v>
      </c>
      <c r="X881" s="64" t="s">
        <v>1221</v>
      </c>
      <c r="Y881" s="64">
        <v>11288</v>
      </c>
    </row>
    <row r="882" spans="22:25" ht="26" x14ac:dyDescent="0.35">
      <c r="V882" s="67">
        <v>880</v>
      </c>
      <c r="W882" s="63" t="s">
        <v>1146</v>
      </c>
      <c r="X882" s="64" t="s">
        <v>1222</v>
      </c>
      <c r="Y882" s="64">
        <v>10215</v>
      </c>
    </row>
    <row r="883" spans="22:25" ht="26" x14ac:dyDescent="0.35">
      <c r="V883" s="67">
        <v>881</v>
      </c>
      <c r="W883" s="63" t="s">
        <v>1146</v>
      </c>
      <c r="X883" s="64" t="s">
        <v>1223</v>
      </c>
      <c r="Y883" s="64">
        <v>10214</v>
      </c>
    </row>
    <row r="884" spans="22:25" ht="26" x14ac:dyDescent="0.35">
      <c r="V884" s="67">
        <v>882</v>
      </c>
      <c r="W884" s="63" t="s">
        <v>1146</v>
      </c>
      <c r="X884" s="64" t="s">
        <v>1157</v>
      </c>
      <c r="Y884" s="64">
        <v>10003</v>
      </c>
    </row>
    <row r="885" spans="22:25" ht="26" x14ac:dyDescent="0.35">
      <c r="V885" s="67">
        <v>883</v>
      </c>
      <c r="W885" s="63" t="s">
        <v>1146</v>
      </c>
      <c r="X885" s="64" t="s">
        <v>1224</v>
      </c>
      <c r="Y885" s="64">
        <v>8275</v>
      </c>
    </row>
    <row r="886" spans="22:25" ht="26" x14ac:dyDescent="0.35">
      <c r="V886" s="67">
        <v>884</v>
      </c>
      <c r="W886" s="63" t="s">
        <v>1146</v>
      </c>
      <c r="X886" s="64" t="s">
        <v>1159</v>
      </c>
      <c r="Y886" s="64">
        <v>10207</v>
      </c>
    </row>
    <row r="887" spans="22:25" ht="26" x14ac:dyDescent="0.35">
      <c r="V887" s="67">
        <v>885</v>
      </c>
      <c r="W887" s="63" t="s">
        <v>1146</v>
      </c>
      <c r="X887" s="64" t="s">
        <v>1161</v>
      </c>
      <c r="Y887" s="64">
        <v>10040</v>
      </c>
    </row>
    <row r="888" spans="22:25" ht="39" x14ac:dyDescent="0.35">
      <c r="V888" s="67">
        <v>886</v>
      </c>
      <c r="W888" s="63" t="s">
        <v>440</v>
      </c>
      <c r="X888" s="64" t="s">
        <v>1225</v>
      </c>
      <c r="Y888" s="64">
        <v>11262</v>
      </c>
    </row>
    <row r="889" spans="22:25" ht="39" x14ac:dyDescent="0.35">
      <c r="V889" s="67">
        <v>887</v>
      </c>
      <c r="W889" s="63" t="s">
        <v>440</v>
      </c>
      <c r="X889" s="64" t="s">
        <v>2670</v>
      </c>
      <c r="Y889" s="64">
        <v>11835</v>
      </c>
    </row>
    <row r="890" spans="22:25" ht="39" x14ac:dyDescent="0.35">
      <c r="V890" s="67">
        <v>888</v>
      </c>
      <c r="W890" s="63" t="s">
        <v>440</v>
      </c>
      <c r="X890" s="64" t="s">
        <v>1226</v>
      </c>
      <c r="Y890" s="64">
        <v>11256</v>
      </c>
    </row>
    <row r="891" spans="22:25" ht="39" x14ac:dyDescent="0.35">
      <c r="V891" s="67">
        <v>889</v>
      </c>
      <c r="W891" s="63" t="s">
        <v>440</v>
      </c>
      <c r="X891" s="64" t="s">
        <v>2783</v>
      </c>
      <c r="Y891" s="64">
        <v>11257</v>
      </c>
    </row>
    <row r="892" spans="22:25" ht="65" x14ac:dyDescent="0.35">
      <c r="V892" s="67">
        <v>890</v>
      </c>
      <c r="W892" s="63" t="s">
        <v>2695</v>
      </c>
      <c r="X892" s="64" t="s">
        <v>1230</v>
      </c>
      <c r="Y892" s="64">
        <v>11263</v>
      </c>
    </row>
    <row r="893" spans="22:25" ht="65" x14ac:dyDescent="0.35">
      <c r="V893" s="67">
        <v>891</v>
      </c>
      <c r="W893" s="63" t="s">
        <v>2695</v>
      </c>
      <c r="X893" s="64" t="s">
        <v>1565</v>
      </c>
      <c r="Y893" s="64">
        <v>10231</v>
      </c>
    </row>
    <row r="894" spans="22:25" ht="65" x14ac:dyDescent="0.35">
      <c r="V894" s="67">
        <v>892</v>
      </c>
      <c r="W894" s="63" t="s">
        <v>2695</v>
      </c>
      <c r="X894" s="64" t="s">
        <v>1231</v>
      </c>
      <c r="Y894" s="64">
        <v>9955</v>
      </c>
    </row>
    <row r="895" spans="22:25" ht="65" x14ac:dyDescent="0.35">
      <c r="V895" s="67">
        <v>893</v>
      </c>
      <c r="W895" s="63" t="s">
        <v>2695</v>
      </c>
      <c r="X895" s="64" t="s">
        <v>1229</v>
      </c>
      <c r="Y895" s="64">
        <v>11261</v>
      </c>
    </row>
    <row r="896" spans="22:25" ht="65" x14ac:dyDescent="0.35">
      <c r="V896" s="67">
        <v>894</v>
      </c>
      <c r="W896" s="63" t="s">
        <v>2695</v>
      </c>
      <c r="X896" s="64" t="s">
        <v>2785</v>
      </c>
      <c r="Y896" s="64">
        <v>10228</v>
      </c>
    </row>
    <row r="897" spans="22:25" x14ac:dyDescent="0.35">
      <c r="V897" s="67">
        <v>895</v>
      </c>
      <c r="W897" s="63" t="s">
        <v>1232</v>
      </c>
      <c r="X897" s="64" t="s">
        <v>1233</v>
      </c>
      <c r="Y897" s="64">
        <v>11259</v>
      </c>
    </row>
    <row r="898" spans="22:25" ht="26" x14ac:dyDescent="0.35">
      <c r="V898" s="67">
        <v>896</v>
      </c>
      <c r="W898" s="63" t="s">
        <v>2685</v>
      </c>
      <c r="X898" s="76" t="s">
        <v>2980</v>
      </c>
      <c r="Y898" s="75">
        <v>12068</v>
      </c>
    </row>
    <row r="899" spans="22:25" ht="26" x14ac:dyDescent="0.35">
      <c r="V899" s="67">
        <v>897</v>
      </c>
      <c r="W899" s="63" t="s">
        <v>2685</v>
      </c>
      <c r="X899" s="64" t="s">
        <v>1675</v>
      </c>
      <c r="Y899" s="64">
        <v>11681</v>
      </c>
    </row>
    <row r="900" spans="22:25" ht="26" x14ac:dyDescent="0.35">
      <c r="V900" s="67">
        <v>898</v>
      </c>
      <c r="W900" s="63" t="s">
        <v>2685</v>
      </c>
      <c r="X900" s="64" t="s">
        <v>1674</v>
      </c>
      <c r="Y900" s="64">
        <v>11680</v>
      </c>
    </row>
    <row r="901" spans="22:25" ht="26" x14ac:dyDescent="0.35">
      <c r="V901" s="67">
        <v>899</v>
      </c>
      <c r="W901" s="63" t="s">
        <v>2685</v>
      </c>
      <c r="X901" s="64" t="s">
        <v>1676</v>
      </c>
      <c r="Y901" s="64">
        <v>11682</v>
      </c>
    </row>
    <row r="902" spans="22:25" ht="26" x14ac:dyDescent="0.35">
      <c r="V902" s="67">
        <v>900</v>
      </c>
      <c r="W902" s="63" t="s">
        <v>2685</v>
      </c>
      <c r="X902" s="64" t="s">
        <v>1672</v>
      </c>
      <c r="Y902" s="64">
        <v>11678</v>
      </c>
    </row>
    <row r="903" spans="22:25" ht="26" x14ac:dyDescent="0.35">
      <c r="V903" s="67">
        <v>901</v>
      </c>
      <c r="W903" s="63" t="s">
        <v>2685</v>
      </c>
      <c r="X903" s="64" t="s">
        <v>1673</v>
      </c>
      <c r="Y903" s="64">
        <v>11679</v>
      </c>
    </row>
    <row r="904" spans="22:25" x14ac:dyDescent="0.35">
      <c r="V904" s="67">
        <v>902</v>
      </c>
      <c r="W904" s="63" t="s">
        <v>2689</v>
      </c>
      <c r="X904" s="64" t="s">
        <v>1724</v>
      </c>
      <c r="Y904" s="64">
        <v>253</v>
      </c>
    </row>
    <row r="905" spans="22:25" x14ac:dyDescent="0.35">
      <c r="V905" s="67">
        <v>903</v>
      </c>
      <c r="W905" s="63" t="s">
        <v>2689</v>
      </c>
      <c r="X905" s="64" t="s">
        <v>1228</v>
      </c>
      <c r="Y905" s="64">
        <v>11260</v>
      </c>
    </row>
    <row r="906" spans="22:25" x14ac:dyDescent="0.35">
      <c r="V906" s="67">
        <v>904</v>
      </c>
      <c r="W906" s="63" t="s">
        <v>2689</v>
      </c>
      <c r="X906" s="64" t="s">
        <v>654</v>
      </c>
      <c r="Y906" s="64">
        <v>3295</v>
      </c>
    </row>
    <row r="907" spans="22:25" x14ac:dyDescent="0.35">
      <c r="V907" s="67">
        <v>905</v>
      </c>
      <c r="W907" s="63" t="s">
        <v>2689</v>
      </c>
      <c r="X907" s="64" t="s">
        <v>1183</v>
      </c>
      <c r="Y907" s="64">
        <v>8314</v>
      </c>
    </row>
    <row r="908" spans="22:25" x14ac:dyDescent="0.35">
      <c r="V908" s="67">
        <v>906</v>
      </c>
      <c r="W908" s="63" t="s">
        <v>2689</v>
      </c>
      <c r="X908" s="64" t="s">
        <v>1205</v>
      </c>
      <c r="Y908" s="64">
        <v>8294</v>
      </c>
    </row>
    <row r="909" spans="22:25" x14ac:dyDescent="0.35">
      <c r="V909" s="67">
        <v>907</v>
      </c>
      <c r="W909" s="63" t="s">
        <v>2871</v>
      </c>
      <c r="X909" s="64" t="s">
        <v>2874</v>
      </c>
      <c r="Y909" s="64">
        <v>11956</v>
      </c>
    </row>
    <row r="910" spans="22:25" x14ac:dyDescent="0.35">
      <c r="V910" s="67">
        <v>908</v>
      </c>
      <c r="W910" s="63" t="s">
        <v>2871</v>
      </c>
      <c r="X910" s="64" t="s">
        <v>2875</v>
      </c>
      <c r="Y910" s="64">
        <v>11957</v>
      </c>
    </row>
    <row r="911" spans="22:25" x14ac:dyDescent="0.35">
      <c r="V911" s="67">
        <v>909</v>
      </c>
      <c r="W911" s="63" t="s">
        <v>2871</v>
      </c>
      <c r="X911" s="64" t="s">
        <v>1827</v>
      </c>
      <c r="Y911" s="64">
        <v>2722</v>
      </c>
    </row>
    <row r="912" spans="22:25" x14ac:dyDescent="0.35">
      <c r="V912" s="67">
        <v>910</v>
      </c>
      <c r="W912" s="63" t="s">
        <v>2871</v>
      </c>
      <c r="X912" s="64" t="s">
        <v>2289</v>
      </c>
      <c r="Y912" s="64">
        <v>2848</v>
      </c>
    </row>
    <row r="913" spans="22:25" x14ac:dyDescent="0.35">
      <c r="V913" s="67">
        <v>911</v>
      </c>
      <c r="W913" s="63" t="s">
        <v>2871</v>
      </c>
      <c r="X913" s="64" t="s">
        <v>2876</v>
      </c>
      <c r="Y913" s="64">
        <v>11958</v>
      </c>
    </row>
    <row r="914" spans="22:25" x14ac:dyDescent="0.35">
      <c r="V914" s="67">
        <v>912</v>
      </c>
      <c r="W914" s="63" t="s">
        <v>2871</v>
      </c>
      <c r="X914" s="64" t="s">
        <v>2877</v>
      </c>
      <c r="Y914" s="64">
        <v>11959</v>
      </c>
    </row>
    <row r="915" spans="22:25" x14ac:dyDescent="0.35">
      <c r="V915" s="67">
        <v>913</v>
      </c>
      <c r="W915" s="63" t="s">
        <v>2871</v>
      </c>
      <c r="X915" s="64" t="s">
        <v>2232</v>
      </c>
      <c r="Y915" s="64">
        <v>2299</v>
      </c>
    </row>
    <row r="916" spans="22:25" x14ac:dyDescent="0.35">
      <c r="V916" s="67">
        <v>914</v>
      </c>
      <c r="W916" s="63" t="s">
        <v>2871</v>
      </c>
      <c r="X916" s="64" t="s">
        <v>2878</v>
      </c>
      <c r="Y916" s="64">
        <v>11961</v>
      </c>
    </row>
    <row r="917" spans="22:25" x14ac:dyDescent="0.35">
      <c r="V917" s="67">
        <v>915</v>
      </c>
      <c r="W917" s="63" t="s">
        <v>2871</v>
      </c>
      <c r="X917" s="64" t="s">
        <v>2893</v>
      </c>
      <c r="Y917" s="64">
        <v>11962</v>
      </c>
    </row>
    <row r="918" spans="22:25" x14ac:dyDescent="0.35">
      <c r="V918" s="67">
        <v>916</v>
      </c>
      <c r="W918" s="63" t="s">
        <v>2871</v>
      </c>
      <c r="X918" s="64" t="s">
        <v>2880</v>
      </c>
      <c r="Y918" s="64">
        <v>11964</v>
      </c>
    </row>
    <row r="919" spans="22:25" x14ac:dyDescent="0.35">
      <c r="V919" s="67">
        <v>917</v>
      </c>
      <c r="W919" s="63" t="s">
        <v>2871</v>
      </c>
      <c r="X919" s="64" t="s">
        <v>2879</v>
      </c>
      <c r="Y919" s="64">
        <v>11963</v>
      </c>
    </row>
    <row r="920" spans="22:25" x14ac:dyDescent="0.35">
      <c r="V920" s="67">
        <v>918</v>
      </c>
      <c r="W920" s="63" t="s">
        <v>2871</v>
      </c>
      <c r="X920" s="64" t="s">
        <v>2881</v>
      </c>
      <c r="Y920" s="64">
        <v>11965</v>
      </c>
    </row>
    <row r="921" spans="22:25" x14ac:dyDescent="0.35">
      <c r="V921" s="67">
        <v>919</v>
      </c>
      <c r="W921" s="63" t="s">
        <v>2871</v>
      </c>
      <c r="X921" s="64" t="s">
        <v>2174</v>
      </c>
      <c r="Y921" s="64">
        <v>2913</v>
      </c>
    </row>
    <row r="922" spans="22:25" x14ac:dyDescent="0.35">
      <c r="V922" s="67">
        <v>920</v>
      </c>
      <c r="W922" s="63" t="s">
        <v>2871</v>
      </c>
      <c r="X922" s="64" t="s">
        <v>2882</v>
      </c>
      <c r="Y922" s="64">
        <v>11966</v>
      </c>
    </row>
    <row r="923" spans="22:25" x14ac:dyDescent="0.35">
      <c r="V923" s="67">
        <v>921</v>
      </c>
      <c r="W923" s="63" t="s">
        <v>2871</v>
      </c>
      <c r="X923" s="64" t="s">
        <v>2883</v>
      </c>
      <c r="Y923" s="64">
        <v>11967</v>
      </c>
    </row>
    <row r="924" spans="22:25" x14ac:dyDescent="0.35">
      <c r="V924" s="67">
        <v>922</v>
      </c>
      <c r="W924" s="63" t="s">
        <v>2871</v>
      </c>
      <c r="X924" s="64" t="s">
        <v>2884</v>
      </c>
      <c r="Y924" s="64">
        <v>11968</v>
      </c>
    </row>
    <row r="925" spans="22:25" x14ac:dyDescent="0.35">
      <c r="V925" s="67">
        <v>923</v>
      </c>
      <c r="W925" s="63" t="s">
        <v>2871</v>
      </c>
      <c r="X925" s="64" t="s">
        <v>2474</v>
      </c>
      <c r="Y925" s="64">
        <v>2956</v>
      </c>
    </row>
    <row r="926" spans="22:25" x14ac:dyDescent="0.35">
      <c r="V926" s="67">
        <v>924</v>
      </c>
      <c r="W926" s="63" t="s">
        <v>2871</v>
      </c>
      <c r="X926" s="64" t="s">
        <v>2885</v>
      </c>
      <c r="Y926" s="64">
        <v>11969</v>
      </c>
    </row>
    <row r="927" spans="22:25" x14ac:dyDescent="0.35">
      <c r="V927" s="67">
        <v>925</v>
      </c>
      <c r="W927" s="63" t="s">
        <v>2871</v>
      </c>
      <c r="X927" s="64" t="s">
        <v>2886</v>
      </c>
      <c r="Y927" s="64">
        <v>11970</v>
      </c>
    </row>
    <row r="928" spans="22:25" x14ac:dyDescent="0.35">
      <c r="V928" s="67">
        <v>926</v>
      </c>
      <c r="W928" s="63" t="s">
        <v>2871</v>
      </c>
      <c r="X928" s="64" t="s">
        <v>2887</v>
      </c>
      <c r="Y928" s="64">
        <v>11971</v>
      </c>
    </row>
    <row r="929" spans="22:25" x14ac:dyDescent="0.35">
      <c r="V929" s="67">
        <v>927</v>
      </c>
      <c r="W929" s="63" t="s">
        <v>2871</v>
      </c>
      <c r="X929" s="64" t="s">
        <v>2306</v>
      </c>
      <c r="Y929" s="64">
        <v>3021</v>
      </c>
    </row>
    <row r="930" spans="22:25" x14ac:dyDescent="0.35">
      <c r="V930" s="67">
        <v>928</v>
      </c>
      <c r="W930" s="63" t="s">
        <v>2871</v>
      </c>
      <c r="X930" s="64" t="s">
        <v>2889</v>
      </c>
      <c r="Y930" s="64">
        <v>11973</v>
      </c>
    </row>
    <row r="931" spans="22:25" x14ac:dyDescent="0.35">
      <c r="V931" s="67">
        <v>929</v>
      </c>
      <c r="W931" s="63" t="s">
        <v>2871</v>
      </c>
      <c r="X931" s="64" t="s">
        <v>2888</v>
      </c>
      <c r="Y931" s="64">
        <v>11972</v>
      </c>
    </row>
    <row r="932" spans="22:25" x14ac:dyDescent="0.35">
      <c r="V932" s="67">
        <v>930</v>
      </c>
      <c r="W932" s="63" t="s">
        <v>2871</v>
      </c>
      <c r="X932" s="64" t="s">
        <v>2890</v>
      </c>
      <c r="Y932" s="64">
        <v>11974</v>
      </c>
    </row>
    <row r="933" spans="22:25" x14ac:dyDescent="0.35">
      <c r="V933" s="67">
        <v>931</v>
      </c>
      <c r="W933" s="63" t="s">
        <v>2871</v>
      </c>
      <c r="X933" s="64" t="s">
        <v>1874</v>
      </c>
      <c r="Y933" s="64">
        <v>3129</v>
      </c>
    </row>
    <row r="934" spans="22:25" x14ac:dyDescent="0.35">
      <c r="V934" s="67">
        <v>932</v>
      </c>
      <c r="W934" s="63" t="s">
        <v>2871</v>
      </c>
      <c r="X934" s="64" t="s">
        <v>2891</v>
      </c>
      <c r="Y934" s="64">
        <v>11975</v>
      </c>
    </row>
    <row r="935" spans="22:25" x14ac:dyDescent="0.35">
      <c r="V935" s="67">
        <v>933</v>
      </c>
      <c r="W935" s="63" t="s">
        <v>2871</v>
      </c>
      <c r="X935" s="64" t="s">
        <v>2892</v>
      </c>
      <c r="Y935" s="64">
        <v>11976</v>
      </c>
    </row>
    <row r="936" spans="22:25" x14ac:dyDescent="0.35">
      <c r="V936" s="67">
        <v>934</v>
      </c>
      <c r="W936" s="63" t="s">
        <v>2867</v>
      </c>
      <c r="X936" s="64" t="s">
        <v>1779</v>
      </c>
      <c r="Y936" s="64">
        <v>2692</v>
      </c>
    </row>
    <row r="937" spans="22:25" x14ac:dyDescent="0.35">
      <c r="V937" s="67">
        <v>935</v>
      </c>
      <c r="W937" s="63" t="s">
        <v>2867</v>
      </c>
      <c r="X937" s="64" t="s">
        <v>1961</v>
      </c>
      <c r="Y937" s="64">
        <v>2759</v>
      </c>
    </row>
    <row r="938" spans="22:25" x14ac:dyDescent="0.35">
      <c r="V938" s="67">
        <v>936</v>
      </c>
      <c r="W938" s="63" t="s">
        <v>2867</v>
      </c>
      <c r="X938" s="64" t="s">
        <v>1011</v>
      </c>
      <c r="Y938" s="64">
        <v>10070</v>
      </c>
    </row>
    <row r="939" spans="22:25" x14ac:dyDescent="0.35">
      <c r="V939" s="67">
        <v>937</v>
      </c>
      <c r="W939" s="63" t="s">
        <v>2857</v>
      </c>
      <c r="X939" s="64" t="s">
        <v>2940</v>
      </c>
      <c r="Y939" s="64">
        <v>12044</v>
      </c>
    </row>
    <row r="940" spans="22:25" x14ac:dyDescent="0.35">
      <c r="V940" s="67">
        <v>938</v>
      </c>
      <c r="W940" s="63" t="s">
        <v>2857</v>
      </c>
      <c r="X940" s="64" t="s">
        <v>2931</v>
      </c>
      <c r="Y940" s="64">
        <v>12035</v>
      </c>
    </row>
    <row r="941" spans="22:25" x14ac:dyDescent="0.35">
      <c r="V941" s="67">
        <v>939</v>
      </c>
      <c r="W941" s="63" t="s">
        <v>2857</v>
      </c>
      <c r="X941" s="64" t="s">
        <v>2907</v>
      </c>
      <c r="Y941" s="64">
        <v>12009</v>
      </c>
    </row>
    <row r="942" spans="22:25" x14ac:dyDescent="0.35">
      <c r="V942" s="67">
        <v>940</v>
      </c>
      <c r="W942" s="63" t="s">
        <v>2857</v>
      </c>
      <c r="X942" s="64" t="s">
        <v>2936</v>
      </c>
      <c r="Y942" s="64">
        <v>12040</v>
      </c>
    </row>
    <row r="943" spans="22:25" x14ac:dyDescent="0.35">
      <c r="V943" s="67">
        <v>941</v>
      </c>
      <c r="W943" s="63" t="s">
        <v>2857</v>
      </c>
      <c r="X943" s="64" t="s">
        <v>2906</v>
      </c>
      <c r="Y943" s="64">
        <v>12008</v>
      </c>
    </row>
    <row r="944" spans="22:25" x14ac:dyDescent="0.35">
      <c r="V944" s="67">
        <v>942</v>
      </c>
      <c r="W944" s="63" t="s">
        <v>2857</v>
      </c>
      <c r="X944" s="64" t="s">
        <v>2926</v>
      </c>
      <c r="Y944" s="64">
        <v>12029</v>
      </c>
    </row>
    <row r="945" spans="22:25" x14ac:dyDescent="0.35">
      <c r="V945" s="67">
        <v>943</v>
      </c>
      <c r="W945" s="63" t="s">
        <v>2857</v>
      </c>
      <c r="X945" s="64" t="s">
        <v>2894</v>
      </c>
      <c r="Y945" s="64">
        <v>2679</v>
      </c>
    </row>
    <row r="946" spans="22:25" x14ac:dyDescent="0.35">
      <c r="V946" s="67">
        <v>944</v>
      </c>
      <c r="W946" s="63" t="s">
        <v>2857</v>
      </c>
      <c r="X946" s="64" t="s">
        <v>2917</v>
      </c>
      <c r="Y946" s="64">
        <v>12019</v>
      </c>
    </row>
    <row r="947" spans="22:25" x14ac:dyDescent="0.35">
      <c r="V947" s="67">
        <v>945</v>
      </c>
      <c r="W947" s="63" t="s">
        <v>2857</v>
      </c>
      <c r="X947" s="64" t="s">
        <v>1774</v>
      </c>
      <c r="Y947" s="64">
        <v>2690</v>
      </c>
    </row>
    <row r="948" spans="22:25" x14ac:dyDescent="0.35">
      <c r="V948" s="67">
        <v>946</v>
      </c>
      <c r="W948" s="63" t="s">
        <v>2857</v>
      </c>
      <c r="X948" s="64" t="s">
        <v>2858</v>
      </c>
      <c r="Y948" s="64">
        <v>11996</v>
      </c>
    </row>
    <row r="949" spans="22:25" x14ac:dyDescent="0.35">
      <c r="V949" s="67">
        <v>947</v>
      </c>
      <c r="W949" s="63" t="s">
        <v>2857</v>
      </c>
      <c r="X949" s="64" t="s">
        <v>1782</v>
      </c>
      <c r="Y949" s="64">
        <v>3232</v>
      </c>
    </row>
    <row r="950" spans="22:25" x14ac:dyDescent="0.35">
      <c r="V950" s="67">
        <v>948</v>
      </c>
      <c r="W950" s="63" t="s">
        <v>2857</v>
      </c>
      <c r="X950" s="64" t="s">
        <v>1797</v>
      </c>
      <c r="Y950" s="64">
        <v>2703</v>
      </c>
    </row>
    <row r="951" spans="22:25" x14ac:dyDescent="0.35">
      <c r="V951" s="67">
        <v>949</v>
      </c>
      <c r="W951" s="63" t="s">
        <v>2857</v>
      </c>
      <c r="X951" s="64" t="s">
        <v>2934</v>
      </c>
      <c r="Y951" s="64">
        <v>12038</v>
      </c>
    </row>
    <row r="952" spans="22:25" x14ac:dyDescent="0.35">
      <c r="V952" s="67">
        <v>950</v>
      </c>
      <c r="W952" s="63" t="s">
        <v>2857</v>
      </c>
      <c r="X952" s="64" t="s">
        <v>2928</v>
      </c>
      <c r="Y952" s="64">
        <v>12031</v>
      </c>
    </row>
    <row r="953" spans="22:25" x14ac:dyDescent="0.35">
      <c r="V953" s="67">
        <v>951</v>
      </c>
      <c r="W953" s="63" t="s">
        <v>2857</v>
      </c>
      <c r="X953" s="64" t="s">
        <v>1897</v>
      </c>
      <c r="Y953" s="64">
        <v>2732</v>
      </c>
    </row>
    <row r="954" spans="22:25" x14ac:dyDescent="0.35">
      <c r="V954" s="67">
        <v>952</v>
      </c>
      <c r="W954" s="63" t="s">
        <v>2857</v>
      </c>
      <c r="X954" s="64" t="s">
        <v>2916</v>
      </c>
      <c r="Y954" s="64">
        <v>12018</v>
      </c>
    </row>
    <row r="955" spans="22:25" x14ac:dyDescent="0.35">
      <c r="V955" s="67">
        <v>953</v>
      </c>
      <c r="W955" s="63" t="s">
        <v>2857</v>
      </c>
      <c r="X955" s="64" t="s">
        <v>2915</v>
      </c>
      <c r="Y955" s="64">
        <v>12017</v>
      </c>
    </row>
    <row r="956" spans="22:25" x14ac:dyDescent="0.35">
      <c r="V956" s="67">
        <v>954</v>
      </c>
      <c r="W956" s="63" t="s">
        <v>2857</v>
      </c>
      <c r="X956" s="64" t="s">
        <v>2920</v>
      </c>
      <c r="Y956" s="64">
        <v>12022</v>
      </c>
    </row>
    <row r="957" spans="22:25" x14ac:dyDescent="0.35">
      <c r="V957" s="67">
        <v>955</v>
      </c>
      <c r="W957" s="63" t="s">
        <v>2857</v>
      </c>
      <c r="X957" s="64" t="s">
        <v>2922</v>
      </c>
      <c r="Y957" s="64">
        <v>12024</v>
      </c>
    </row>
    <row r="958" spans="22:25" x14ac:dyDescent="0.35">
      <c r="V958" s="67">
        <v>956</v>
      </c>
      <c r="W958" s="63" t="s">
        <v>2857</v>
      </c>
      <c r="X958" s="64" t="s">
        <v>1957</v>
      </c>
      <c r="Y958" s="64">
        <v>12047</v>
      </c>
    </row>
    <row r="959" spans="22:25" x14ac:dyDescent="0.35">
      <c r="V959" s="67">
        <v>957</v>
      </c>
      <c r="W959" s="63" t="s">
        <v>2857</v>
      </c>
      <c r="X959" s="64" t="s">
        <v>1973</v>
      </c>
      <c r="Y959" s="64">
        <v>2764</v>
      </c>
    </row>
    <row r="960" spans="22:25" x14ac:dyDescent="0.35">
      <c r="V960" s="67">
        <v>958</v>
      </c>
      <c r="W960" s="63" t="s">
        <v>2857</v>
      </c>
      <c r="X960" s="64" t="s">
        <v>1979</v>
      </c>
      <c r="Y960" s="64">
        <v>3316</v>
      </c>
    </row>
    <row r="961" spans="22:25" ht="26" x14ac:dyDescent="0.35">
      <c r="V961" s="67">
        <v>959</v>
      </c>
      <c r="W961" s="63" t="s">
        <v>2857</v>
      </c>
      <c r="X961" s="64" t="s">
        <v>1984</v>
      </c>
      <c r="Y961" s="64">
        <v>10266</v>
      </c>
    </row>
    <row r="962" spans="22:25" x14ac:dyDescent="0.35">
      <c r="V962" s="67">
        <v>960</v>
      </c>
      <c r="W962" s="63" t="s">
        <v>2857</v>
      </c>
      <c r="X962" s="64" t="s">
        <v>2911</v>
      </c>
      <c r="Y962" s="64">
        <v>12013</v>
      </c>
    </row>
    <row r="963" spans="22:25" x14ac:dyDescent="0.35">
      <c r="V963" s="67">
        <v>961</v>
      </c>
      <c r="W963" s="63" t="s">
        <v>2857</v>
      </c>
      <c r="X963" s="64" t="s">
        <v>1992</v>
      </c>
      <c r="Y963" s="64">
        <v>12034</v>
      </c>
    </row>
    <row r="964" spans="22:25" x14ac:dyDescent="0.35">
      <c r="V964" s="67">
        <v>962</v>
      </c>
      <c r="W964" s="63" t="s">
        <v>2857</v>
      </c>
      <c r="X964" s="64" t="s">
        <v>2905</v>
      </c>
      <c r="Y964" s="64">
        <v>12007</v>
      </c>
    </row>
    <row r="965" spans="22:25" x14ac:dyDescent="0.35">
      <c r="V965" s="67">
        <v>963</v>
      </c>
      <c r="W965" s="63" t="s">
        <v>2857</v>
      </c>
      <c r="X965" s="64" t="s">
        <v>2912</v>
      </c>
      <c r="Y965" s="64">
        <v>12014</v>
      </c>
    </row>
    <row r="966" spans="22:25" x14ac:dyDescent="0.35">
      <c r="V966" s="67">
        <v>964</v>
      </c>
      <c r="W966" s="63" t="s">
        <v>2857</v>
      </c>
      <c r="X966" s="64" t="s">
        <v>2942</v>
      </c>
      <c r="Y966" s="64">
        <v>12046</v>
      </c>
    </row>
    <row r="967" spans="22:25" x14ac:dyDescent="0.35">
      <c r="V967" s="67">
        <v>965</v>
      </c>
      <c r="W967" s="63" t="s">
        <v>2857</v>
      </c>
      <c r="X967" s="64" t="s">
        <v>2935</v>
      </c>
      <c r="Y967" s="64">
        <v>12039</v>
      </c>
    </row>
    <row r="968" spans="22:25" x14ac:dyDescent="0.35">
      <c r="V968" s="67">
        <v>966</v>
      </c>
      <c r="W968" s="63" t="s">
        <v>2857</v>
      </c>
      <c r="X968" s="64" t="s">
        <v>2945</v>
      </c>
      <c r="Y968" s="64">
        <v>12051</v>
      </c>
    </row>
    <row r="969" spans="22:25" x14ac:dyDescent="0.35">
      <c r="V969" s="67">
        <v>967</v>
      </c>
      <c r="W969" s="63" t="s">
        <v>2857</v>
      </c>
      <c r="X969" s="64" t="s">
        <v>2933</v>
      </c>
      <c r="Y969" s="64">
        <v>12037</v>
      </c>
    </row>
    <row r="970" spans="22:25" x14ac:dyDescent="0.35">
      <c r="V970" s="67">
        <v>968</v>
      </c>
      <c r="W970" s="63" t="s">
        <v>2857</v>
      </c>
      <c r="X970" s="64" t="s">
        <v>2938</v>
      </c>
      <c r="Y970" s="64">
        <v>12042</v>
      </c>
    </row>
    <row r="971" spans="22:25" x14ac:dyDescent="0.35">
      <c r="V971" s="67">
        <v>969</v>
      </c>
      <c r="W971" s="63" t="s">
        <v>2857</v>
      </c>
      <c r="X971" s="64" t="s">
        <v>2158</v>
      </c>
      <c r="Y971" s="64">
        <v>2846</v>
      </c>
    </row>
    <row r="972" spans="22:25" x14ac:dyDescent="0.35">
      <c r="V972" s="67">
        <v>970</v>
      </c>
      <c r="W972" s="63" t="s">
        <v>2857</v>
      </c>
      <c r="X972" s="64" t="s">
        <v>2342</v>
      </c>
      <c r="Y972" s="64">
        <v>2856</v>
      </c>
    </row>
    <row r="973" spans="22:25" x14ac:dyDescent="0.35">
      <c r="V973" s="67">
        <v>971</v>
      </c>
      <c r="W973" s="63" t="s">
        <v>2857</v>
      </c>
      <c r="X973" s="64" t="s">
        <v>2929</v>
      </c>
      <c r="Y973" s="64">
        <v>12032</v>
      </c>
    </row>
    <row r="974" spans="22:25" x14ac:dyDescent="0.35">
      <c r="V974" s="67">
        <v>972</v>
      </c>
      <c r="W974" s="63" t="s">
        <v>2857</v>
      </c>
      <c r="X974" s="64" t="s">
        <v>2946</v>
      </c>
      <c r="Y974" s="64">
        <v>12052</v>
      </c>
    </row>
    <row r="975" spans="22:25" x14ac:dyDescent="0.35">
      <c r="V975" s="67">
        <v>973</v>
      </c>
      <c r="W975" s="63" t="s">
        <v>2857</v>
      </c>
      <c r="X975" s="64" t="s">
        <v>2856</v>
      </c>
      <c r="Y975" s="64">
        <v>11995</v>
      </c>
    </row>
    <row r="976" spans="22:25" x14ac:dyDescent="0.35">
      <c r="V976" s="67">
        <v>974</v>
      </c>
      <c r="W976" s="63" t="s">
        <v>2857</v>
      </c>
      <c r="X976" s="64" t="s">
        <v>2395</v>
      </c>
      <c r="Y976" s="64">
        <v>3410</v>
      </c>
    </row>
    <row r="977" spans="22:25" x14ac:dyDescent="0.35">
      <c r="V977" s="67">
        <v>975</v>
      </c>
      <c r="W977" s="63" t="s">
        <v>2857</v>
      </c>
      <c r="X977" s="64" t="s">
        <v>2919</v>
      </c>
      <c r="Y977" s="64">
        <v>12021</v>
      </c>
    </row>
    <row r="978" spans="22:25" x14ac:dyDescent="0.35">
      <c r="V978" s="67">
        <v>976</v>
      </c>
      <c r="W978" s="63" t="s">
        <v>2857</v>
      </c>
      <c r="X978" s="64" t="s">
        <v>725</v>
      </c>
      <c r="Y978" s="64">
        <v>12053</v>
      </c>
    </row>
    <row r="979" spans="22:25" x14ac:dyDescent="0.35">
      <c r="V979" s="67">
        <v>977</v>
      </c>
      <c r="W979" s="63" t="s">
        <v>2857</v>
      </c>
      <c r="X979" s="64" t="s">
        <v>2913</v>
      </c>
      <c r="Y979" s="64">
        <v>12015</v>
      </c>
    </row>
    <row r="980" spans="22:25" x14ac:dyDescent="0.35">
      <c r="V980" s="67">
        <v>978</v>
      </c>
      <c r="W980" s="63" t="s">
        <v>2857</v>
      </c>
      <c r="X980" s="64" t="s">
        <v>2455</v>
      </c>
      <c r="Y980" s="64">
        <v>3429</v>
      </c>
    </row>
    <row r="981" spans="22:25" x14ac:dyDescent="0.35">
      <c r="V981" s="67">
        <v>979</v>
      </c>
      <c r="W981" s="63" t="s">
        <v>2857</v>
      </c>
      <c r="X981" s="64" t="s">
        <v>2910</v>
      </c>
      <c r="Y981" s="64">
        <v>12012</v>
      </c>
    </row>
    <row r="982" spans="22:25" x14ac:dyDescent="0.35">
      <c r="V982" s="67">
        <v>980</v>
      </c>
      <c r="W982" s="63" t="s">
        <v>2857</v>
      </c>
      <c r="X982" s="64" t="s">
        <v>2473</v>
      </c>
      <c r="Y982" s="64">
        <v>2464</v>
      </c>
    </row>
    <row r="983" spans="22:25" x14ac:dyDescent="0.35">
      <c r="V983" s="67">
        <v>981</v>
      </c>
      <c r="W983" s="63" t="s">
        <v>2857</v>
      </c>
      <c r="X983" s="64" t="s">
        <v>2944</v>
      </c>
      <c r="Y983" s="64">
        <v>12049</v>
      </c>
    </row>
    <row r="984" spans="22:25" x14ac:dyDescent="0.35">
      <c r="V984" s="67">
        <v>982</v>
      </c>
      <c r="W984" s="63" t="s">
        <v>2857</v>
      </c>
      <c r="X984" s="64" t="s">
        <v>2191</v>
      </c>
      <c r="Y984" s="64">
        <v>2962</v>
      </c>
    </row>
    <row r="985" spans="22:25" x14ac:dyDescent="0.35">
      <c r="V985" s="67">
        <v>983</v>
      </c>
      <c r="W985" s="63" t="s">
        <v>2857</v>
      </c>
      <c r="X985" s="64" t="s">
        <v>2909</v>
      </c>
      <c r="Y985" s="64">
        <v>12011</v>
      </c>
    </row>
    <row r="986" spans="22:25" x14ac:dyDescent="0.35">
      <c r="V986" s="67">
        <v>984</v>
      </c>
      <c r="W986" s="63" t="s">
        <v>2857</v>
      </c>
      <c r="X986" s="64" t="s">
        <v>2923</v>
      </c>
      <c r="Y986" s="64">
        <v>12026</v>
      </c>
    </row>
    <row r="987" spans="22:25" x14ac:dyDescent="0.35">
      <c r="V987" s="67">
        <v>985</v>
      </c>
      <c r="W987" s="63" t="s">
        <v>2857</v>
      </c>
      <c r="X987" s="64" t="s">
        <v>2498</v>
      </c>
      <c r="Y987" s="64">
        <v>3455</v>
      </c>
    </row>
    <row r="988" spans="22:25" x14ac:dyDescent="0.35">
      <c r="V988" s="67">
        <v>986</v>
      </c>
      <c r="W988" s="63" t="s">
        <v>2857</v>
      </c>
      <c r="X988" s="64" t="s">
        <v>2939</v>
      </c>
      <c r="Y988" s="64">
        <v>12043</v>
      </c>
    </row>
    <row r="989" spans="22:25" x14ac:dyDescent="0.35">
      <c r="V989" s="67">
        <v>987</v>
      </c>
      <c r="W989" s="63" t="s">
        <v>2857</v>
      </c>
      <c r="X989" s="64" t="s">
        <v>2914</v>
      </c>
      <c r="Y989" s="64">
        <v>12016</v>
      </c>
    </row>
    <row r="990" spans="22:25" x14ac:dyDescent="0.35">
      <c r="V990" s="67">
        <v>988</v>
      </c>
      <c r="W990" s="63" t="s">
        <v>2857</v>
      </c>
      <c r="X990" s="64" t="s">
        <v>2908</v>
      </c>
      <c r="Y990" s="64">
        <v>12010</v>
      </c>
    </row>
    <row r="991" spans="22:25" x14ac:dyDescent="0.35">
      <c r="V991" s="67">
        <v>989</v>
      </c>
      <c r="W991" s="63" t="s">
        <v>2857</v>
      </c>
      <c r="X991" s="64" t="s">
        <v>2921</v>
      </c>
      <c r="Y991" s="64">
        <v>12023</v>
      </c>
    </row>
    <row r="992" spans="22:25" x14ac:dyDescent="0.35">
      <c r="V992" s="67">
        <v>990</v>
      </c>
      <c r="W992" s="63" t="s">
        <v>2857</v>
      </c>
      <c r="X992" s="64" t="s">
        <v>2932</v>
      </c>
      <c r="Y992" s="64">
        <v>12036</v>
      </c>
    </row>
    <row r="993" spans="22:25" x14ac:dyDescent="0.35">
      <c r="V993" s="67">
        <v>991</v>
      </c>
      <c r="W993" s="63" t="s">
        <v>2857</v>
      </c>
      <c r="X993" s="64" t="s">
        <v>2924</v>
      </c>
      <c r="Y993" s="64">
        <v>12027</v>
      </c>
    </row>
    <row r="994" spans="22:25" x14ac:dyDescent="0.35">
      <c r="V994" s="67">
        <v>992</v>
      </c>
      <c r="W994" s="63" t="s">
        <v>2857</v>
      </c>
      <c r="X994" s="64" t="s">
        <v>2941</v>
      </c>
      <c r="Y994" s="64">
        <v>12045</v>
      </c>
    </row>
    <row r="995" spans="22:25" x14ac:dyDescent="0.35">
      <c r="V995" s="67">
        <v>993</v>
      </c>
      <c r="W995" s="63" t="s">
        <v>2857</v>
      </c>
      <c r="X995" s="64" t="s">
        <v>2943</v>
      </c>
      <c r="Y995" s="64">
        <v>12048</v>
      </c>
    </row>
    <row r="996" spans="22:25" x14ac:dyDescent="0.35">
      <c r="V996" s="67">
        <v>994</v>
      </c>
      <c r="W996" s="63" t="s">
        <v>2857</v>
      </c>
      <c r="X996" s="64" t="s">
        <v>2081</v>
      </c>
      <c r="Y996" s="64">
        <v>12025</v>
      </c>
    </row>
    <row r="997" spans="22:25" x14ac:dyDescent="0.35">
      <c r="V997" s="67">
        <v>995</v>
      </c>
      <c r="W997" s="63" t="s">
        <v>2857</v>
      </c>
      <c r="X997" s="64" t="s">
        <v>2925</v>
      </c>
      <c r="Y997" s="64">
        <v>12028</v>
      </c>
    </row>
    <row r="998" spans="22:25" ht="26" x14ac:dyDescent="0.35">
      <c r="V998" s="67">
        <v>996</v>
      </c>
      <c r="W998" s="63" t="s">
        <v>2857</v>
      </c>
      <c r="X998" s="64" t="s">
        <v>2930</v>
      </c>
      <c r="Y998" s="64">
        <v>12033</v>
      </c>
    </row>
    <row r="999" spans="22:25" x14ac:dyDescent="0.35">
      <c r="V999" s="67">
        <v>997</v>
      </c>
      <c r="W999" s="63" t="s">
        <v>2857</v>
      </c>
      <c r="X999" s="64" t="s">
        <v>2927</v>
      </c>
      <c r="Y999" s="64">
        <v>12030</v>
      </c>
    </row>
    <row r="1000" spans="22:25" x14ac:dyDescent="0.35">
      <c r="V1000" s="67">
        <v>998</v>
      </c>
      <c r="W1000" s="63" t="s">
        <v>2857</v>
      </c>
      <c r="X1000" s="64" t="s">
        <v>2063</v>
      </c>
      <c r="Y1000" s="64">
        <v>3073</v>
      </c>
    </row>
    <row r="1001" spans="22:25" ht="26" x14ac:dyDescent="0.35">
      <c r="V1001" s="67">
        <v>999</v>
      </c>
      <c r="W1001" s="63" t="s">
        <v>2857</v>
      </c>
      <c r="X1001" s="64" t="s">
        <v>2052</v>
      </c>
      <c r="Y1001" s="64">
        <v>8315</v>
      </c>
    </row>
    <row r="1002" spans="22:25" x14ac:dyDescent="0.35">
      <c r="V1002" s="67">
        <v>1000</v>
      </c>
      <c r="W1002" s="63" t="s">
        <v>2857</v>
      </c>
      <c r="X1002" s="64" t="s">
        <v>1206</v>
      </c>
      <c r="Y1002" s="64">
        <v>12050</v>
      </c>
    </row>
    <row r="1003" spans="22:25" x14ac:dyDescent="0.35">
      <c r="V1003" s="67">
        <v>1001</v>
      </c>
      <c r="W1003" s="63" t="s">
        <v>2857</v>
      </c>
      <c r="X1003" s="64" t="s">
        <v>2918</v>
      </c>
      <c r="Y1003" s="64">
        <v>12020</v>
      </c>
    </row>
    <row r="1004" spans="22:25" x14ac:dyDescent="0.35">
      <c r="V1004" s="67">
        <v>1002</v>
      </c>
      <c r="W1004" s="63" t="s">
        <v>2857</v>
      </c>
      <c r="X1004" s="64" t="s">
        <v>1859</v>
      </c>
      <c r="Y1004" s="64">
        <v>8205</v>
      </c>
    </row>
    <row r="1005" spans="22:25" x14ac:dyDescent="0.35">
      <c r="V1005" s="67">
        <v>1003</v>
      </c>
      <c r="W1005" s="63" t="s">
        <v>2857</v>
      </c>
      <c r="X1005" s="64" t="s">
        <v>2937</v>
      </c>
      <c r="Y1005" s="64">
        <v>12041</v>
      </c>
    </row>
    <row r="1006" spans="22:25" x14ac:dyDescent="0.35">
      <c r="V1006" s="67"/>
    </row>
  </sheetData>
  <autoFilter ref="A2:Z2" xr:uid="{C49ABC7C-E2FA-4B75-B4A0-319B04AFD6B7}"/>
  <mergeCells count="5">
    <mergeCell ref="V1:Y1"/>
    <mergeCell ref="B1:E1"/>
    <mergeCell ref="G1:J1"/>
    <mergeCell ref="L1:O1"/>
    <mergeCell ref="Q1:T1"/>
  </mergeCells>
  <phoneticPr fontId="17" type="noConversion"/>
  <conditionalFormatting sqref="D1 D47:D1048576">
    <cfRule type="duplicateValues" dxfId="153" priority="7587"/>
  </conditionalFormatting>
  <conditionalFormatting sqref="D1 I1 N1 S1 X1 S564:S1048576 D47:D1048576 I551:I1048576 N529:N1048576 N527 X1007:X1048576">
    <cfRule type="duplicateValues" dxfId="152" priority="9316"/>
  </conditionalFormatting>
  <conditionalFormatting sqref="D3:D36 D38:D45">
    <cfRule type="duplicateValues" dxfId="151" priority="7600"/>
    <cfRule type="duplicateValues" dxfId="150" priority="7599"/>
  </conditionalFormatting>
  <conditionalFormatting sqref="D35">
    <cfRule type="duplicateValues" dxfId="149" priority="393" stopIfTrue="1"/>
  </conditionalFormatting>
  <conditionalFormatting sqref="D37">
    <cfRule type="duplicateValues" dxfId="148" priority="277"/>
    <cfRule type="duplicateValues" dxfId="147" priority="276"/>
    <cfRule type="duplicateValues" dxfId="146" priority="274" stopIfTrue="1"/>
  </conditionalFormatting>
  <conditionalFormatting sqref="D41 D36 D38:D39 D3:D34">
    <cfRule type="duplicateValues" dxfId="145" priority="398" stopIfTrue="1"/>
  </conditionalFormatting>
  <conditionalFormatting sqref="D42">
    <cfRule type="duplicateValues" dxfId="144" priority="400" stopIfTrue="1"/>
  </conditionalFormatting>
  <conditionalFormatting sqref="D43">
    <cfRule type="duplicateValues" dxfId="143" priority="396" stopIfTrue="1"/>
  </conditionalFormatting>
  <conditionalFormatting sqref="D44">
    <cfRule type="duplicateValues" dxfId="142" priority="394" stopIfTrue="1"/>
  </conditionalFormatting>
  <conditionalFormatting sqref="E3:E36 E38:E45">
    <cfRule type="duplicateValues" dxfId="141" priority="7609"/>
  </conditionalFormatting>
  <conditionalFormatting sqref="E37">
    <cfRule type="duplicateValues" dxfId="140" priority="275"/>
    <cfRule type="duplicateValues" dxfId="139" priority="278"/>
  </conditionalFormatting>
  <conditionalFormatting sqref="E41 E3:E36 E38:E39">
    <cfRule type="duplicateValues" dxfId="138" priority="399" stopIfTrue="1"/>
  </conditionalFormatting>
  <conditionalFormatting sqref="E42">
    <cfRule type="duplicateValues" dxfId="137" priority="401"/>
  </conditionalFormatting>
  <conditionalFormatting sqref="E43">
    <cfRule type="duplicateValues" dxfId="136" priority="397" stopIfTrue="1"/>
  </conditionalFormatting>
  <conditionalFormatting sqref="E44">
    <cfRule type="duplicateValues" dxfId="135" priority="395" stopIfTrue="1"/>
  </conditionalFormatting>
  <conditionalFormatting sqref="I1 I551:I1048576">
    <cfRule type="duplicateValues" dxfId="134" priority="9041"/>
  </conditionalFormatting>
  <conditionalFormatting sqref="I370">
    <cfRule type="duplicateValues" dxfId="133" priority="114" stopIfTrue="1"/>
  </conditionalFormatting>
  <conditionalFormatting sqref="I379:I381">
    <cfRule type="duplicateValues" dxfId="132" priority="118" stopIfTrue="1"/>
  </conditionalFormatting>
  <conditionalFormatting sqref="I382:I384 I371:I378 I44:I248 I250:I301 I303:I369 I3:I42 I386:I462">
    <cfRule type="duplicateValues" dxfId="131" priority="8950" stopIfTrue="1"/>
  </conditionalFormatting>
  <conditionalFormatting sqref="I463">
    <cfRule type="duplicateValues" dxfId="130" priority="115" stopIfTrue="1"/>
  </conditionalFormatting>
  <conditionalFormatting sqref="I464:I466 I43">
    <cfRule type="duplicateValues" dxfId="129" priority="116" stopIfTrue="1"/>
  </conditionalFormatting>
  <conditionalFormatting sqref="I467:I491">
    <cfRule type="duplicateValues" dxfId="128" priority="112" stopIfTrue="1"/>
  </conditionalFormatting>
  <conditionalFormatting sqref="I492:I495">
    <cfRule type="duplicateValues" dxfId="127" priority="110" stopIfTrue="1"/>
  </conditionalFormatting>
  <conditionalFormatting sqref="I496:I497 I499:I502 I505:I517">
    <cfRule type="duplicateValues" dxfId="126" priority="106" stopIfTrue="1"/>
  </conditionalFormatting>
  <conditionalFormatting sqref="I498 I503:I504">
    <cfRule type="duplicateValues" dxfId="125" priority="109" stopIfTrue="1"/>
  </conditionalFormatting>
  <conditionalFormatting sqref="I518:I526 I528">
    <cfRule type="duplicateValues" dxfId="124" priority="8351" stopIfTrue="1"/>
  </conditionalFormatting>
  <conditionalFormatting sqref="I522:I526 I528">
    <cfRule type="duplicateValues" dxfId="123" priority="8353"/>
  </conditionalFormatting>
  <conditionalFormatting sqref="I528:I544 I3:I248 I250:I301 I303:I384 I386:I526">
    <cfRule type="duplicateValues" dxfId="122" priority="8347"/>
  </conditionalFormatting>
  <conditionalFormatting sqref="I529:I544 I3:I248 I250:I301 I303:I384 I386:I521">
    <cfRule type="duplicateValues" dxfId="121" priority="121"/>
  </conditionalFormatting>
  <conditionalFormatting sqref="I529:I544">
    <cfRule type="duplicateValues" dxfId="120" priority="102" stopIfTrue="1"/>
  </conditionalFormatting>
  <conditionalFormatting sqref="I535:I544">
    <cfRule type="duplicateValues" dxfId="119" priority="100" stopIfTrue="1"/>
  </conditionalFormatting>
  <conditionalFormatting sqref="I545">
    <cfRule type="duplicateValues" dxfId="118" priority="98"/>
    <cfRule type="duplicateValues" dxfId="117" priority="95" stopIfTrue="1"/>
    <cfRule type="duplicateValues" dxfId="116" priority="97"/>
  </conditionalFormatting>
  <conditionalFormatting sqref="I546">
    <cfRule type="duplicateValues" dxfId="115" priority="93"/>
    <cfRule type="duplicateValues" dxfId="114" priority="90" stopIfTrue="1"/>
    <cfRule type="duplicateValues" dxfId="113" priority="92"/>
  </conditionalFormatting>
  <conditionalFormatting sqref="I547:I548">
    <cfRule type="duplicateValues" dxfId="112" priority="85" stopIfTrue="1"/>
    <cfRule type="duplicateValues" dxfId="111" priority="87"/>
    <cfRule type="duplicateValues" dxfId="110" priority="88"/>
  </conditionalFormatting>
  <conditionalFormatting sqref="I549">
    <cfRule type="duplicateValues" dxfId="109" priority="84"/>
    <cfRule type="duplicateValues" dxfId="108" priority="83"/>
    <cfRule type="duplicateValues" dxfId="107" priority="82" stopIfTrue="1"/>
  </conditionalFormatting>
  <conditionalFormatting sqref="I550">
    <cfRule type="duplicateValues" dxfId="106" priority="77"/>
    <cfRule type="duplicateValues" dxfId="105" priority="78"/>
    <cfRule type="duplicateValues" dxfId="104" priority="75" stopIfTrue="1"/>
  </conditionalFormatting>
  <conditionalFormatting sqref="J1 J840:J1048576">
    <cfRule type="duplicateValues" dxfId="103" priority="4690"/>
  </conditionalFormatting>
  <conditionalFormatting sqref="J1 O1 T1 Y1 E1 E47:E1048576 J552:J1048576 O529:O1048576 T564:T1048576 Y1007:Y1048576">
    <cfRule type="duplicateValues" dxfId="102" priority="9043"/>
  </conditionalFormatting>
  <conditionalFormatting sqref="J379:J381">
    <cfRule type="duplicateValues" dxfId="101" priority="119"/>
  </conditionalFormatting>
  <conditionalFormatting sqref="J382:J384 J44:J248 J250:J301 J303:J378 J3:J42 J386:J463">
    <cfRule type="duplicateValues" dxfId="100" priority="8969"/>
  </conditionalFormatting>
  <conditionalFormatting sqref="J464:J466 J43">
    <cfRule type="duplicateValues" dxfId="99" priority="117"/>
  </conditionalFormatting>
  <conditionalFormatting sqref="J467:J491">
    <cfRule type="duplicateValues" dxfId="98" priority="113"/>
  </conditionalFormatting>
  <conditionalFormatting sqref="J492:J495">
    <cfRule type="duplicateValues" dxfId="97" priority="111"/>
  </conditionalFormatting>
  <conditionalFormatting sqref="J496:J497 J499:J517">
    <cfRule type="duplicateValues" dxfId="96" priority="107"/>
  </conditionalFormatting>
  <conditionalFormatting sqref="J498">
    <cfRule type="duplicateValues" dxfId="95" priority="108"/>
  </conditionalFormatting>
  <conditionalFormatting sqref="J518:J526 J528">
    <cfRule type="duplicateValues" dxfId="94" priority="8373"/>
  </conditionalFormatting>
  <conditionalFormatting sqref="J528:J544 J3:J248 J250:J301 J303:J384 J386:J526">
    <cfRule type="duplicateValues" dxfId="93" priority="8369"/>
  </conditionalFormatting>
  <conditionalFormatting sqref="J529:J534">
    <cfRule type="duplicateValues" dxfId="92" priority="103"/>
  </conditionalFormatting>
  <conditionalFormatting sqref="J535:J544">
    <cfRule type="duplicateValues" dxfId="91" priority="101"/>
  </conditionalFormatting>
  <conditionalFormatting sqref="J545">
    <cfRule type="duplicateValues" dxfId="90" priority="99"/>
    <cfRule type="duplicateValues" dxfId="89" priority="96"/>
  </conditionalFormatting>
  <conditionalFormatting sqref="J546">
    <cfRule type="duplicateValues" dxfId="88" priority="94"/>
    <cfRule type="duplicateValues" dxfId="87" priority="91"/>
  </conditionalFormatting>
  <conditionalFormatting sqref="J547:J548">
    <cfRule type="duplicateValues" dxfId="86" priority="86"/>
    <cfRule type="duplicateValues" dxfId="85" priority="89"/>
  </conditionalFormatting>
  <conditionalFormatting sqref="J549">
    <cfRule type="duplicateValues" dxfId="84" priority="80"/>
    <cfRule type="duplicateValues" dxfId="83" priority="81"/>
  </conditionalFormatting>
  <conditionalFormatting sqref="J550:J551">
    <cfRule type="duplicateValues" dxfId="82" priority="76"/>
    <cfRule type="duplicateValues" dxfId="81" priority="79"/>
  </conditionalFormatting>
  <conditionalFormatting sqref="N1 N529:N1048576 N527">
    <cfRule type="duplicateValues" dxfId="80" priority="9200"/>
  </conditionalFormatting>
  <conditionalFormatting sqref="N178 N168:N170 N153:N154">
    <cfRule type="duplicateValues" dxfId="79" priority="59" stopIfTrue="1"/>
  </conditionalFormatting>
  <conditionalFormatting sqref="N242">
    <cfRule type="duplicateValues" dxfId="78" priority="54" stopIfTrue="1"/>
  </conditionalFormatting>
  <conditionalFormatting sqref="N244">
    <cfRule type="duplicateValues" dxfId="77" priority="55" stopIfTrue="1"/>
  </conditionalFormatting>
  <conditionalFormatting sqref="N285 N239 N171:N177 N144 N245:N250 I385 N243 N138:N142 N155:N156 N158:N167 N180:N208 N210:N214 N146:N152 N74:N136">
    <cfRule type="duplicateValues" dxfId="76" priority="56" stopIfTrue="1"/>
  </conditionalFormatting>
  <conditionalFormatting sqref="N286:N313 N215:N238 N240:N241 N179 N157 N145 N137 N143 N251:N284 N315:N355 N357:N396 N3:N14 N16:N73">
    <cfRule type="duplicateValues" dxfId="75" priority="8615" stopIfTrue="1"/>
  </conditionalFormatting>
  <conditionalFormatting sqref="N315:N355 N3:N14 N16:N208 N210:N313 I385 N357:N494">
    <cfRule type="duplicateValues" dxfId="74" priority="8736"/>
    <cfRule type="duplicateValues" dxfId="73" priority="8737"/>
  </conditionalFormatting>
  <conditionalFormatting sqref="N356 S3:S393 S395:S552">
    <cfRule type="duplicateValues" dxfId="72" priority="9187"/>
    <cfRule type="duplicateValues" dxfId="71" priority="9188"/>
  </conditionalFormatting>
  <conditionalFormatting sqref="N356 S448:S480">
    <cfRule type="duplicateValues" dxfId="70" priority="33" stopIfTrue="1"/>
  </conditionalFormatting>
  <conditionalFormatting sqref="N397:N410">
    <cfRule type="duplicateValues" dxfId="69" priority="68" stopIfTrue="1"/>
  </conditionalFormatting>
  <conditionalFormatting sqref="N411">
    <cfRule type="duplicateValues" dxfId="68" priority="52" stopIfTrue="1"/>
  </conditionalFormatting>
  <conditionalFormatting sqref="N412:N429 N431:N464">
    <cfRule type="duplicateValues" dxfId="67" priority="60" stopIfTrue="1"/>
  </conditionalFormatting>
  <conditionalFormatting sqref="N430">
    <cfRule type="duplicateValues" dxfId="66" priority="62" stopIfTrue="1"/>
  </conditionalFormatting>
  <conditionalFormatting sqref="N465">
    <cfRule type="duplicateValues" dxfId="65" priority="64" stopIfTrue="1"/>
  </conditionalFormatting>
  <conditionalFormatting sqref="N466:N494">
    <cfRule type="duplicateValues" dxfId="64" priority="72" stopIfTrue="1"/>
  </conditionalFormatting>
  <conditionalFormatting sqref="N495:N522 N524">
    <cfRule type="duplicateValues" dxfId="63" priority="8417" stopIfTrue="1"/>
    <cfRule type="duplicateValues" dxfId="62" priority="8419"/>
    <cfRule type="duplicateValues" dxfId="61" priority="8418"/>
  </conditionalFormatting>
  <conditionalFormatting sqref="N526 X3:X897 X899:X906">
    <cfRule type="duplicateValues" dxfId="60" priority="8290"/>
  </conditionalFormatting>
  <conditionalFormatting sqref="N526 X3:X897 X899:X1005">
    <cfRule type="duplicateValues" dxfId="59" priority="8294"/>
    <cfRule type="duplicateValues" dxfId="58" priority="8293"/>
  </conditionalFormatting>
  <conditionalFormatting sqref="N526 X904:X906 X883:X884 X888:X890 X895:X897 X899:X902">
    <cfRule type="duplicateValues" dxfId="57" priority="7" stopIfTrue="1"/>
  </conditionalFormatting>
  <conditionalFormatting sqref="O1 O533:O1048576">
    <cfRule type="duplicateValues" dxfId="56" priority="4045"/>
  </conditionalFormatting>
  <conditionalFormatting sqref="O153:O154">
    <cfRule type="duplicateValues" dxfId="55" priority="58"/>
  </conditionalFormatting>
  <conditionalFormatting sqref="O285 O239 O155:O156 O144 O245:O250 J385 O243 O231 O138:O142 O74:O80 O158:O178 O180:O208 O210:O214 O146:O152 O82:O136">
    <cfRule type="duplicateValues" dxfId="54" priority="57"/>
  </conditionalFormatting>
  <conditionalFormatting sqref="O286:O313 O232:O238 O244 O179 O157 O145 O137 O143 O240:O242 O251:O284 O315:O355 O357:O396 O3:O14 O16:O73 O215:O230">
    <cfRule type="duplicateValues" dxfId="53" priority="8646"/>
  </conditionalFormatting>
  <conditionalFormatting sqref="O315:O355 O3:O14 O16:O208 O210:O313 J385 O357:O494">
    <cfRule type="duplicateValues" dxfId="52" priority="8750"/>
  </conditionalFormatting>
  <conditionalFormatting sqref="O356 T3:T552">
    <cfRule type="duplicateValues" dxfId="51" priority="9195"/>
  </conditionalFormatting>
  <conditionalFormatting sqref="O356 T448:T480">
    <cfRule type="duplicateValues" dxfId="50" priority="34"/>
  </conditionalFormatting>
  <conditionalFormatting sqref="O397:O410">
    <cfRule type="duplicateValues" dxfId="49" priority="69"/>
  </conditionalFormatting>
  <conditionalFormatting sqref="O411">
    <cfRule type="duplicateValues" dxfId="48" priority="53"/>
  </conditionalFormatting>
  <conditionalFormatting sqref="O412:O429 O81 O431:O464">
    <cfRule type="duplicateValues" dxfId="47" priority="61"/>
  </conditionalFormatting>
  <conditionalFormatting sqref="O430">
    <cfRule type="duplicateValues" dxfId="46" priority="63"/>
  </conditionalFormatting>
  <conditionalFormatting sqref="O465">
    <cfRule type="duplicateValues" dxfId="45" priority="65"/>
  </conditionalFormatting>
  <conditionalFormatting sqref="O466:O494">
    <cfRule type="duplicateValues" dxfId="44" priority="74"/>
  </conditionalFormatting>
  <conditionalFormatting sqref="O495:O506">
    <cfRule type="duplicateValues" dxfId="43" priority="48"/>
    <cfRule type="duplicateValues" dxfId="42" priority="51"/>
  </conditionalFormatting>
  <conditionalFormatting sqref="O507">
    <cfRule type="duplicateValues" dxfId="41" priority="46"/>
    <cfRule type="duplicateValues" dxfId="40" priority="45"/>
  </conditionalFormatting>
  <conditionalFormatting sqref="O508:O522 O524">
    <cfRule type="duplicateValues" dxfId="39" priority="8426"/>
    <cfRule type="duplicateValues" dxfId="38" priority="8425"/>
  </conditionalFormatting>
  <conditionalFormatting sqref="O526:O527 Y3:Y897 Y899:Y1005">
    <cfRule type="duplicateValues" dxfId="37" priority="8313"/>
  </conditionalFormatting>
  <conditionalFormatting sqref="O526:O527 Y576:Y897 Y899:Y906 Y562 Y399:Y550 Y3:Y366">
    <cfRule type="duplicateValues" dxfId="36" priority="8316"/>
  </conditionalFormatting>
  <conditionalFormatting sqref="S1 S564:S1048576">
    <cfRule type="duplicateValues" dxfId="35" priority="7182"/>
  </conditionalFormatting>
  <conditionalFormatting sqref="S438:S440 S432 S422 S3:S18 S20:S393 S395:S399">
    <cfRule type="duplicateValues" dxfId="34" priority="32" stopIfTrue="1"/>
  </conditionalFormatting>
  <conditionalFormatting sqref="S441:S442 S423:S431 S433:S437 S421">
    <cfRule type="duplicateValues" dxfId="33" priority="29" stopIfTrue="1"/>
  </conditionalFormatting>
  <conditionalFormatting sqref="S443:S447 S19 S400:S420">
    <cfRule type="duplicateValues" dxfId="32" priority="28" stopIfTrue="1"/>
  </conditionalFormatting>
  <conditionalFormatting sqref="S481">
    <cfRule type="duplicateValues" dxfId="31" priority="26" stopIfTrue="1"/>
  </conditionalFormatting>
  <conditionalFormatting sqref="S482:S552">
    <cfRule type="duplicateValues" dxfId="30" priority="8813" stopIfTrue="1"/>
  </conditionalFormatting>
  <conditionalFormatting sqref="S553">
    <cfRule type="duplicateValues" dxfId="29" priority="38" stopIfTrue="1"/>
    <cfRule type="duplicateValues" dxfId="28" priority="40"/>
    <cfRule type="duplicateValues" dxfId="27" priority="41"/>
  </conditionalFormatting>
  <conditionalFormatting sqref="S554:S562">
    <cfRule type="duplicateValues" dxfId="26" priority="22"/>
    <cfRule type="duplicateValues" dxfId="25" priority="21"/>
    <cfRule type="duplicateValues" dxfId="24" priority="19" stopIfTrue="1"/>
  </conditionalFormatting>
  <conditionalFormatting sqref="T1 T564:T1048576">
    <cfRule type="duplicateValues" dxfId="23" priority="4724"/>
  </conditionalFormatting>
  <conditionalFormatting sqref="T441:T442 T423:T431 T433:T437 T421">
    <cfRule type="duplicateValues" dxfId="22" priority="30"/>
  </conditionalFormatting>
  <conditionalFormatting sqref="T443:T447 T438:T440 T432 T422 T3:T420">
    <cfRule type="duplicateValues" dxfId="21" priority="31"/>
  </conditionalFormatting>
  <conditionalFormatting sqref="T481">
    <cfRule type="duplicateValues" dxfId="20" priority="27"/>
  </conditionalFormatting>
  <conditionalFormatting sqref="T482:T552">
    <cfRule type="duplicateValues" dxfId="19" priority="8820"/>
  </conditionalFormatting>
  <conditionalFormatting sqref="T553">
    <cfRule type="duplicateValues" dxfId="18" priority="39"/>
    <cfRule type="duplicateValues" dxfId="17" priority="42"/>
  </conditionalFormatting>
  <conditionalFormatting sqref="T554:T562">
    <cfRule type="duplicateValues" dxfId="16" priority="23"/>
    <cfRule type="duplicateValues" dxfId="15" priority="20"/>
  </conditionalFormatting>
  <conditionalFormatting sqref="X1 X1007:X1048576">
    <cfRule type="duplicateValues" dxfId="14" priority="8287"/>
    <cfRule type="duplicateValues" dxfId="13" priority="8286"/>
  </conditionalFormatting>
  <conditionalFormatting sqref="X870:X882">
    <cfRule type="duplicateValues" dxfId="12" priority="6" stopIfTrue="1"/>
  </conditionalFormatting>
  <conditionalFormatting sqref="X903 X885:X887 X891:X894 X562 X576:X869 X399:X550 X261:X366 X3:X259">
    <cfRule type="duplicateValues" dxfId="11" priority="8" stopIfTrue="1"/>
  </conditionalFormatting>
  <conditionalFormatting sqref="X907:X924">
    <cfRule type="duplicateValues" dxfId="10" priority="9" stopIfTrue="1"/>
  </conditionalFormatting>
  <conditionalFormatting sqref="X924">
    <cfRule type="duplicateValues" dxfId="9" priority="5"/>
    <cfRule type="duplicateValues" dxfId="8" priority="3" stopIfTrue="1"/>
    <cfRule type="duplicateValues" dxfId="7" priority="1" stopIfTrue="1"/>
    <cfRule type="duplicateValues" dxfId="6" priority="2"/>
  </conditionalFormatting>
  <conditionalFormatting sqref="X925:X1005">
    <cfRule type="duplicateValues" dxfId="5" priority="11" stopIfTrue="1"/>
    <cfRule type="duplicateValues" dxfId="4" priority="12"/>
  </conditionalFormatting>
  <conditionalFormatting sqref="Y1 Y1178:Y1048576">
    <cfRule type="duplicateValues" dxfId="3" priority="5221"/>
  </conditionalFormatting>
  <conditionalFormatting sqref="Y907:Y923">
    <cfRule type="duplicateValues" dxfId="2" priority="10"/>
  </conditionalFormatting>
  <conditionalFormatting sqref="Y924">
    <cfRule type="duplicateValues" dxfId="1" priority="4"/>
  </conditionalFormatting>
  <conditionalFormatting sqref="Y925:Y1005">
    <cfRule type="duplicateValues" dxfId="0" priority="13"/>
  </conditionalFormatting>
  <hyperlinks>
    <hyperlink ref="S462" r:id="rId1" display="https://www.bankofmaharashtra.in/" xr:uid="{183F17A7-7611-4E02-BAD5-0CE987DF3A60}"/>
    <hyperlink ref="S471" r:id="rId2" display="https://www.iob.in/" xr:uid="{5208D300-B2E6-415C-B920-193CB60F142A}"/>
    <hyperlink ref="S477" r:id="rId3" display="https://punjabandsindbank.co.in/" xr:uid="{087F5AC7-3245-4B56-818C-A52B1DCDC845}"/>
    <hyperlink ref="S482" r:id="rId4" display="https://www.ucobank.com/" xr:uid="{09098449-7630-46D1-8A49-E56D91D47CE4}"/>
    <hyperlink ref="S466" r:id="rId5" display="http://www.csb.co.in/" xr:uid="{06F426D0-75EE-45BF-B3D8-50F175D1074F}"/>
    <hyperlink ref="S465" r:id="rId6" display="https://www.cityunionbank.com/" xr:uid="{B586CDDB-D8CC-410B-9CED-8FCCE19C7514}"/>
    <hyperlink ref="S468" r:id="rId7" display="https://www.dcbbank.com/" xr:uid="{693EB26B-094B-4D13-8FA2-FAC659D72A0D}"/>
    <hyperlink ref="S461" r:id="rId8" display="https://www.bandhanbank.com/" xr:uid="{7E8AAD59-E19F-413F-A39F-AACC5196A544}"/>
    <hyperlink ref="S467" r:id="rId9" display="https://www.dbs.com/india/default.page" xr:uid="{B1497CE0-7C99-4D3D-8683-01FACF0A9B36}"/>
  </hyperlinks>
  <pageMargins left="0.7" right="0.7" top="0.75" bottom="0.75" header="0.3" footer="0.3"/>
  <pageSetup scale="58"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70BF-AD89-4910-863D-AE62616D34F0}">
  <sheetPr>
    <pageSetUpPr fitToPage="1"/>
  </sheetPr>
  <dimension ref="A1:F85"/>
  <sheetViews>
    <sheetView zoomScale="60" zoomScaleNormal="60" workbookViewId="0">
      <pane ySplit="1" topLeftCell="A2" activePane="bottomLeft" state="frozen"/>
      <selection activeCell="O3" sqref="O3:T12"/>
      <selection pane="bottomLeft" activeCell="C44" sqref="C44"/>
    </sheetView>
  </sheetViews>
  <sheetFormatPr defaultColWidth="9.1796875" defaultRowHeight="13" x14ac:dyDescent="0.3"/>
  <cols>
    <col min="1" max="1" width="33.26953125" style="5" customWidth="1"/>
    <col min="2" max="2" width="56" style="21" customWidth="1"/>
    <col min="3" max="3" width="83.08984375" style="5" customWidth="1"/>
    <col min="4" max="4" width="24.1796875" style="5" customWidth="1"/>
    <col min="5" max="5" width="26.7265625" style="5" bestFit="1" customWidth="1"/>
    <col min="6" max="6" width="31" style="5" customWidth="1"/>
    <col min="7" max="7" width="9.1796875" style="5" customWidth="1"/>
    <col min="8" max="16384" width="9.1796875" style="5"/>
  </cols>
  <sheetData>
    <row r="1" spans="1:6" ht="32" x14ac:dyDescent="0.3">
      <c r="A1" s="97" t="s">
        <v>1239</v>
      </c>
      <c r="B1" s="98" t="s">
        <v>1240</v>
      </c>
      <c r="C1" s="98" t="s">
        <v>1241</v>
      </c>
      <c r="D1" s="98" t="s">
        <v>0</v>
      </c>
      <c r="E1" s="98" t="s">
        <v>50</v>
      </c>
      <c r="F1" s="99" t="s">
        <v>52</v>
      </c>
    </row>
    <row r="2" spans="1:6" ht="156" x14ac:dyDescent="0.3">
      <c r="A2" s="100" t="s">
        <v>1242</v>
      </c>
      <c r="B2" s="7" t="s">
        <v>2545</v>
      </c>
      <c r="C2" s="7" t="s">
        <v>2772</v>
      </c>
      <c r="D2" s="6" t="s">
        <v>1243</v>
      </c>
      <c r="E2" s="8" t="s">
        <v>2678</v>
      </c>
      <c r="F2" s="101" t="s">
        <v>1244</v>
      </c>
    </row>
    <row r="3" spans="1:6" ht="78" x14ac:dyDescent="0.3">
      <c r="A3" s="100" t="s">
        <v>180</v>
      </c>
      <c r="B3" s="9" t="s">
        <v>1245</v>
      </c>
      <c r="C3" s="9" t="s">
        <v>1246</v>
      </c>
      <c r="D3" s="6" t="s">
        <v>1243</v>
      </c>
      <c r="E3" s="8" t="s">
        <v>2679</v>
      </c>
      <c r="F3" s="102">
        <v>10645</v>
      </c>
    </row>
    <row r="4" spans="1:6" ht="91" x14ac:dyDescent="0.3">
      <c r="A4" s="100" t="s">
        <v>184</v>
      </c>
      <c r="B4" s="9" t="s">
        <v>1247</v>
      </c>
      <c r="C4" s="9" t="s">
        <v>1248</v>
      </c>
      <c r="D4" s="6" t="s">
        <v>1243</v>
      </c>
      <c r="E4" s="8" t="s">
        <v>2680</v>
      </c>
      <c r="F4" s="102">
        <v>10646</v>
      </c>
    </row>
    <row r="5" spans="1:6" ht="91" x14ac:dyDescent="0.3">
      <c r="A5" s="100" t="s">
        <v>1346</v>
      </c>
      <c r="B5" s="9" t="s">
        <v>1689</v>
      </c>
      <c r="C5" s="9" t="s">
        <v>1690</v>
      </c>
      <c r="D5" s="6" t="s">
        <v>1243</v>
      </c>
      <c r="E5" s="8" t="s">
        <v>2680</v>
      </c>
      <c r="F5" s="102">
        <v>11358</v>
      </c>
    </row>
    <row r="6" spans="1:6" ht="104.5" thickBot="1" x14ac:dyDescent="0.35">
      <c r="A6" s="103" t="s">
        <v>1261</v>
      </c>
      <c r="B6" s="104" t="s">
        <v>1262</v>
      </c>
      <c r="C6" s="104" t="s">
        <v>1248</v>
      </c>
      <c r="D6" s="105" t="s">
        <v>1243</v>
      </c>
      <c r="E6" s="106" t="s">
        <v>2680</v>
      </c>
      <c r="F6" s="107">
        <v>11108</v>
      </c>
    </row>
    <row r="7" spans="1:6" ht="78" x14ac:dyDescent="0.3">
      <c r="A7" s="108" t="s">
        <v>1175</v>
      </c>
      <c r="B7" s="109" t="s">
        <v>1260</v>
      </c>
      <c r="C7" s="109" t="s">
        <v>2773</v>
      </c>
      <c r="D7" s="110" t="s">
        <v>1251</v>
      </c>
      <c r="E7" s="111" t="s">
        <v>2680</v>
      </c>
      <c r="F7" s="112" t="s">
        <v>1687</v>
      </c>
    </row>
    <row r="8" spans="1:6" ht="65" x14ac:dyDescent="0.3">
      <c r="A8" s="113" t="s">
        <v>1258</v>
      </c>
      <c r="B8" s="7" t="s">
        <v>1259</v>
      </c>
      <c r="C8" s="11" t="s">
        <v>2774</v>
      </c>
      <c r="D8" s="10" t="s">
        <v>1251</v>
      </c>
      <c r="E8" s="63" t="s">
        <v>2681</v>
      </c>
      <c r="F8" s="102" t="s">
        <v>1252</v>
      </c>
    </row>
    <row r="9" spans="1:6" ht="65" x14ac:dyDescent="0.3">
      <c r="A9" s="113" t="s">
        <v>1557</v>
      </c>
      <c r="B9" s="7" t="s">
        <v>1256</v>
      </c>
      <c r="C9" s="11" t="s">
        <v>2774</v>
      </c>
      <c r="D9" s="10" t="s">
        <v>1251</v>
      </c>
      <c r="E9" s="63" t="s">
        <v>2682</v>
      </c>
      <c r="F9" s="102" t="s">
        <v>1252</v>
      </c>
    </row>
    <row r="10" spans="1:6" ht="65" x14ac:dyDescent="0.3">
      <c r="A10" s="113" t="s">
        <v>1254</v>
      </c>
      <c r="B10" s="7" t="s">
        <v>1255</v>
      </c>
      <c r="C10" s="11" t="s">
        <v>2774</v>
      </c>
      <c r="D10" s="10" t="s">
        <v>1251</v>
      </c>
      <c r="E10" s="63" t="s">
        <v>2683</v>
      </c>
      <c r="F10" s="102" t="s">
        <v>1688</v>
      </c>
    </row>
    <row r="11" spans="1:6" ht="65" x14ac:dyDescent="0.3">
      <c r="A11" s="113" t="s">
        <v>1249</v>
      </c>
      <c r="B11" s="7" t="s">
        <v>1250</v>
      </c>
      <c r="C11" s="11" t="s">
        <v>2774</v>
      </c>
      <c r="D11" s="10" t="s">
        <v>1251</v>
      </c>
      <c r="E11" s="63" t="s">
        <v>2684</v>
      </c>
      <c r="F11" s="102" t="s">
        <v>1252</v>
      </c>
    </row>
    <row r="12" spans="1:6" ht="65" x14ac:dyDescent="0.3">
      <c r="A12" s="113" t="s">
        <v>2729</v>
      </c>
      <c r="B12" s="7" t="s">
        <v>2728</v>
      </c>
      <c r="C12" s="11" t="s">
        <v>2774</v>
      </c>
      <c r="D12" s="10" t="s">
        <v>1251</v>
      </c>
      <c r="E12" s="63" t="s">
        <v>283</v>
      </c>
      <c r="F12" s="102" t="s">
        <v>1252</v>
      </c>
    </row>
    <row r="13" spans="1:6" ht="65" x14ac:dyDescent="0.3">
      <c r="A13" s="113" t="s">
        <v>2730</v>
      </c>
      <c r="B13" s="7" t="s">
        <v>1253</v>
      </c>
      <c r="C13" s="11" t="s">
        <v>2774</v>
      </c>
      <c r="D13" s="10" t="s">
        <v>1251</v>
      </c>
      <c r="E13" s="63" t="s">
        <v>2685</v>
      </c>
      <c r="F13" s="102" t="s">
        <v>1252</v>
      </c>
    </row>
    <row r="14" spans="1:6" ht="65" x14ac:dyDescent="0.3">
      <c r="A14" s="113" t="s">
        <v>1165</v>
      </c>
      <c r="B14" s="7" t="s">
        <v>1686</v>
      </c>
      <c r="C14" s="11" t="s">
        <v>2774</v>
      </c>
      <c r="D14" s="10" t="s">
        <v>1251</v>
      </c>
      <c r="E14" s="8" t="s">
        <v>2725</v>
      </c>
      <c r="F14" s="102" t="s">
        <v>1252</v>
      </c>
    </row>
    <row r="15" spans="1:6" ht="65" x14ac:dyDescent="0.3">
      <c r="A15" s="113" t="s">
        <v>1340</v>
      </c>
      <c r="B15" s="7" t="s">
        <v>1341</v>
      </c>
      <c r="C15" s="11" t="s">
        <v>2774</v>
      </c>
      <c r="D15" s="10" t="s">
        <v>1251</v>
      </c>
      <c r="E15" s="63" t="s">
        <v>2687</v>
      </c>
      <c r="F15" s="102" t="s">
        <v>1252</v>
      </c>
    </row>
    <row r="16" spans="1:6" ht="65" x14ac:dyDescent="0.3">
      <c r="A16" s="113" t="s">
        <v>1554</v>
      </c>
      <c r="B16" s="7" t="s">
        <v>1556</v>
      </c>
      <c r="C16" s="11" t="s">
        <v>2774</v>
      </c>
      <c r="D16" s="10" t="s">
        <v>1251</v>
      </c>
      <c r="E16" s="63" t="s">
        <v>2688</v>
      </c>
      <c r="F16" s="102" t="s">
        <v>1252</v>
      </c>
    </row>
    <row r="17" spans="1:6" ht="65" x14ac:dyDescent="0.3">
      <c r="A17" s="113" t="s">
        <v>1558</v>
      </c>
      <c r="B17" s="7" t="s">
        <v>1555</v>
      </c>
      <c r="C17" s="11" t="s">
        <v>2774</v>
      </c>
      <c r="D17" s="10" t="s">
        <v>1251</v>
      </c>
      <c r="E17" s="63" t="s">
        <v>2689</v>
      </c>
      <c r="F17" s="102" t="s">
        <v>1252</v>
      </c>
    </row>
    <row r="18" spans="1:6" ht="65" x14ac:dyDescent="0.3">
      <c r="A18" s="113" t="s">
        <v>2960</v>
      </c>
      <c r="B18" s="7" t="s">
        <v>2961</v>
      </c>
      <c r="C18" s="11" t="s">
        <v>2774</v>
      </c>
      <c r="D18" s="10" t="s">
        <v>1251</v>
      </c>
      <c r="E18" s="63" t="s">
        <v>2690</v>
      </c>
      <c r="F18" s="102" t="s">
        <v>1252</v>
      </c>
    </row>
    <row r="19" spans="1:6" ht="65" x14ac:dyDescent="0.3">
      <c r="A19" s="113" t="s">
        <v>2962</v>
      </c>
      <c r="B19" s="7" t="s">
        <v>2963</v>
      </c>
      <c r="C19" s="11" t="s">
        <v>2774</v>
      </c>
      <c r="D19" s="10" t="s">
        <v>1251</v>
      </c>
      <c r="E19" s="63" t="s">
        <v>2803</v>
      </c>
      <c r="F19" s="102" t="s">
        <v>1252</v>
      </c>
    </row>
    <row r="20" spans="1:6" ht="65" x14ac:dyDescent="0.3">
      <c r="A20" s="113" t="s">
        <v>2964</v>
      </c>
      <c r="B20" s="7" t="s">
        <v>2963</v>
      </c>
      <c r="C20" s="11" t="s">
        <v>2774</v>
      </c>
      <c r="D20" s="10" t="s">
        <v>1251</v>
      </c>
      <c r="E20" s="63" t="s">
        <v>2871</v>
      </c>
      <c r="F20" s="102" t="s">
        <v>1252</v>
      </c>
    </row>
    <row r="21" spans="1:6" ht="65" x14ac:dyDescent="0.3">
      <c r="A21" s="113" t="s">
        <v>2965</v>
      </c>
      <c r="B21" s="7" t="s">
        <v>2963</v>
      </c>
      <c r="C21" s="11" t="s">
        <v>2774</v>
      </c>
      <c r="D21" s="10" t="s">
        <v>1251</v>
      </c>
      <c r="E21" s="63" t="s">
        <v>2867</v>
      </c>
      <c r="F21" s="102" t="s">
        <v>1252</v>
      </c>
    </row>
    <row r="22" spans="1:6" ht="65" x14ac:dyDescent="0.3">
      <c r="A22" s="113" t="s">
        <v>2966</v>
      </c>
      <c r="B22" s="7" t="s">
        <v>2963</v>
      </c>
      <c r="C22" s="11" t="s">
        <v>2774</v>
      </c>
      <c r="D22" s="10" t="s">
        <v>1251</v>
      </c>
      <c r="E22" s="63" t="s">
        <v>2857</v>
      </c>
      <c r="F22" s="102" t="s">
        <v>1252</v>
      </c>
    </row>
    <row r="23" spans="1:6" ht="65" x14ac:dyDescent="0.3">
      <c r="A23" s="113" t="s">
        <v>2958</v>
      </c>
      <c r="B23" s="7" t="s">
        <v>2959</v>
      </c>
      <c r="C23" s="11" t="s">
        <v>2774</v>
      </c>
      <c r="D23" s="10" t="s">
        <v>1251</v>
      </c>
      <c r="E23" s="63" t="s">
        <v>2957</v>
      </c>
      <c r="F23" s="102" t="s">
        <v>1252</v>
      </c>
    </row>
    <row r="24" spans="1:6" ht="143" x14ac:dyDescent="0.3">
      <c r="A24" s="113" t="s">
        <v>3000</v>
      </c>
      <c r="B24" s="7" t="s">
        <v>2672</v>
      </c>
      <c r="C24" s="11" t="s">
        <v>2673</v>
      </c>
      <c r="D24" s="10" t="s">
        <v>1251</v>
      </c>
      <c r="E24" s="28" t="s">
        <v>440</v>
      </c>
      <c r="F24" s="102" t="s">
        <v>1252</v>
      </c>
    </row>
    <row r="25" spans="1:6" ht="65.5" thickBot="1" x14ac:dyDescent="0.35">
      <c r="A25" s="114" t="s">
        <v>1331</v>
      </c>
      <c r="B25" s="115" t="s">
        <v>1710</v>
      </c>
      <c r="C25" s="93" t="s">
        <v>2774</v>
      </c>
      <c r="D25" s="116" t="s">
        <v>1251</v>
      </c>
      <c r="E25" s="117" t="s">
        <v>434</v>
      </c>
      <c r="F25" s="107">
        <v>11375</v>
      </c>
    </row>
    <row r="26" spans="1:6" ht="65" x14ac:dyDescent="0.3">
      <c r="A26" s="118" t="s">
        <v>2726</v>
      </c>
      <c r="B26" s="119" t="s">
        <v>1257</v>
      </c>
      <c r="C26" s="88" t="s">
        <v>2774</v>
      </c>
      <c r="D26" s="120" t="s">
        <v>8</v>
      </c>
      <c r="E26" s="121" t="s">
        <v>2692</v>
      </c>
      <c r="F26" s="122" t="s">
        <v>1252</v>
      </c>
    </row>
    <row r="27" spans="1:6" ht="65" x14ac:dyDescent="0.3">
      <c r="A27" s="123" t="s">
        <v>1559</v>
      </c>
      <c r="B27" s="7" t="s">
        <v>1256</v>
      </c>
      <c r="C27" s="11" t="s">
        <v>2774</v>
      </c>
      <c r="D27" s="13" t="s">
        <v>8</v>
      </c>
      <c r="E27" s="63" t="s">
        <v>2682</v>
      </c>
      <c r="F27" s="102" t="s">
        <v>1252</v>
      </c>
    </row>
    <row r="28" spans="1:6" ht="65" x14ac:dyDescent="0.3">
      <c r="A28" s="124" t="s">
        <v>1254</v>
      </c>
      <c r="B28" s="7" t="s">
        <v>2727</v>
      </c>
      <c r="C28" s="11" t="s">
        <v>2774</v>
      </c>
      <c r="D28" s="12" t="s">
        <v>8</v>
      </c>
      <c r="E28" s="8" t="s">
        <v>2683</v>
      </c>
      <c r="F28" s="102" t="s">
        <v>1252</v>
      </c>
    </row>
    <row r="29" spans="1:6" ht="65" x14ac:dyDescent="0.3">
      <c r="A29" s="124" t="s">
        <v>2732</v>
      </c>
      <c r="B29" s="7" t="s">
        <v>2733</v>
      </c>
      <c r="C29" s="11" t="s">
        <v>2774</v>
      </c>
      <c r="D29" s="12" t="s">
        <v>8</v>
      </c>
      <c r="E29" s="8" t="s">
        <v>283</v>
      </c>
      <c r="F29" s="102" t="s">
        <v>1252</v>
      </c>
    </row>
    <row r="30" spans="1:6" ht="65" x14ac:dyDescent="0.3">
      <c r="A30" s="124" t="s">
        <v>2730</v>
      </c>
      <c r="B30" s="7" t="s">
        <v>1263</v>
      </c>
      <c r="C30" s="11" t="s">
        <v>2774</v>
      </c>
      <c r="D30" s="12" t="s">
        <v>8</v>
      </c>
      <c r="E30" s="8" t="s">
        <v>54</v>
      </c>
      <c r="F30" s="102" t="s">
        <v>1252</v>
      </c>
    </row>
    <row r="31" spans="1:6" ht="65" x14ac:dyDescent="0.3">
      <c r="A31" s="123" t="s">
        <v>2731</v>
      </c>
      <c r="B31" s="7" t="s">
        <v>1264</v>
      </c>
      <c r="C31" s="11" t="s">
        <v>2774</v>
      </c>
      <c r="D31" s="13" t="s">
        <v>8</v>
      </c>
      <c r="E31" s="8" t="s">
        <v>350</v>
      </c>
      <c r="F31" s="102" t="s">
        <v>1252</v>
      </c>
    </row>
    <row r="32" spans="1:6" ht="65" x14ac:dyDescent="0.3">
      <c r="A32" s="123" t="s">
        <v>1165</v>
      </c>
      <c r="B32" s="7" t="s">
        <v>1686</v>
      </c>
      <c r="C32" s="11" t="s">
        <v>2774</v>
      </c>
      <c r="D32" s="13" t="s">
        <v>8</v>
      </c>
      <c r="E32" s="8" t="s">
        <v>1289</v>
      </c>
      <c r="F32" s="102" t="s">
        <v>1252</v>
      </c>
    </row>
    <row r="33" spans="1:6" ht="65" x14ac:dyDescent="0.3">
      <c r="A33" s="123" t="s">
        <v>1554</v>
      </c>
      <c r="B33" s="7" t="s">
        <v>1556</v>
      </c>
      <c r="C33" s="11" t="s">
        <v>2774</v>
      </c>
      <c r="D33" s="13" t="s">
        <v>8</v>
      </c>
      <c r="E33" s="8" t="s">
        <v>1402</v>
      </c>
      <c r="F33" s="102" t="s">
        <v>1252</v>
      </c>
    </row>
    <row r="34" spans="1:6" ht="65" x14ac:dyDescent="0.3">
      <c r="A34" s="123" t="s">
        <v>1560</v>
      </c>
      <c r="B34" s="7" t="s">
        <v>1555</v>
      </c>
      <c r="C34" s="11" t="s">
        <v>2774</v>
      </c>
      <c r="D34" s="13" t="s">
        <v>8</v>
      </c>
      <c r="E34" s="8" t="s">
        <v>1403</v>
      </c>
      <c r="F34" s="102" t="s">
        <v>1252</v>
      </c>
    </row>
    <row r="35" spans="1:6" ht="65" x14ac:dyDescent="0.3">
      <c r="A35" s="123" t="s">
        <v>2969</v>
      </c>
      <c r="B35" s="7" t="s">
        <v>2970</v>
      </c>
      <c r="C35" s="11" t="s">
        <v>2774</v>
      </c>
      <c r="D35" s="13" t="s">
        <v>8</v>
      </c>
      <c r="E35" s="8" t="s">
        <v>1683</v>
      </c>
      <c r="F35" s="102" t="s">
        <v>1252</v>
      </c>
    </row>
    <row r="36" spans="1:6" ht="65" x14ac:dyDescent="0.3">
      <c r="A36" s="123" t="s">
        <v>2971</v>
      </c>
      <c r="B36" s="7" t="s">
        <v>2975</v>
      </c>
      <c r="C36" s="11" t="s">
        <v>2774</v>
      </c>
      <c r="D36" s="13" t="s">
        <v>8</v>
      </c>
      <c r="E36" s="63" t="s">
        <v>2690</v>
      </c>
      <c r="F36" s="102" t="s">
        <v>1252</v>
      </c>
    </row>
    <row r="37" spans="1:6" ht="65" x14ac:dyDescent="0.3">
      <c r="A37" s="123" t="s">
        <v>2972</v>
      </c>
      <c r="B37" s="7" t="s">
        <v>2976</v>
      </c>
      <c r="C37" s="11" t="s">
        <v>2774</v>
      </c>
      <c r="D37" s="13" t="s">
        <v>8</v>
      </c>
      <c r="E37" s="63" t="s">
        <v>2803</v>
      </c>
      <c r="F37" s="102" t="s">
        <v>1252</v>
      </c>
    </row>
    <row r="38" spans="1:6" ht="65" x14ac:dyDescent="0.3">
      <c r="A38" s="123" t="s">
        <v>2973</v>
      </c>
      <c r="B38" s="7" t="s">
        <v>2976</v>
      </c>
      <c r="C38" s="11" t="s">
        <v>2774</v>
      </c>
      <c r="D38" s="13" t="s">
        <v>8</v>
      </c>
      <c r="E38" s="63" t="s">
        <v>2867</v>
      </c>
      <c r="F38" s="102" t="s">
        <v>1252</v>
      </c>
    </row>
    <row r="39" spans="1:6" ht="65" x14ac:dyDescent="0.3">
      <c r="A39" s="123" t="s">
        <v>2974</v>
      </c>
      <c r="B39" s="7" t="s">
        <v>2976</v>
      </c>
      <c r="C39" s="11" t="s">
        <v>2774</v>
      </c>
      <c r="D39" s="13" t="s">
        <v>8</v>
      </c>
      <c r="E39" s="63" t="s">
        <v>2857</v>
      </c>
      <c r="F39" s="102" t="s">
        <v>1252</v>
      </c>
    </row>
    <row r="40" spans="1:6" ht="65" x14ac:dyDescent="0.3">
      <c r="A40" s="123" t="s">
        <v>2967</v>
      </c>
      <c r="B40" s="7" t="s">
        <v>2968</v>
      </c>
      <c r="C40" s="11" t="s">
        <v>2774</v>
      </c>
      <c r="D40" s="13" t="s">
        <v>8</v>
      </c>
      <c r="E40" s="8" t="s">
        <v>2957</v>
      </c>
      <c r="F40" s="102" t="s">
        <v>1252</v>
      </c>
    </row>
    <row r="41" spans="1:6" ht="169" x14ac:dyDescent="0.3">
      <c r="A41" s="123" t="s">
        <v>1265</v>
      </c>
      <c r="B41" s="7" t="s">
        <v>2724</v>
      </c>
      <c r="C41" s="11" t="s">
        <v>2735</v>
      </c>
      <c r="D41" s="13" t="s">
        <v>8</v>
      </c>
      <c r="E41" s="8" t="s">
        <v>2957</v>
      </c>
      <c r="F41" s="102">
        <v>11169</v>
      </c>
    </row>
    <row r="42" spans="1:6" ht="52" x14ac:dyDescent="0.3">
      <c r="A42" s="123" t="s">
        <v>451</v>
      </c>
      <c r="B42" s="7" t="s">
        <v>1272</v>
      </c>
      <c r="C42" s="11" t="s">
        <v>2736</v>
      </c>
      <c r="D42" s="13" t="s">
        <v>8</v>
      </c>
      <c r="E42" s="8" t="s">
        <v>447</v>
      </c>
      <c r="F42" s="102">
        <v>11278</v>
      </c>
    </row>
    <row r="43" spans="1:6" ht="94" customHeight="1" x14ac:dyDescent="0.3">
      <c r="A43" s="123" t="s">
        <v>3008</v>
      </c>
      <c r="B43" s="17" t="s">
        <v>1312</v>
      </c>
      <c r="C43" s="17" t="s">
        <v>3011</v>
      </c>
      <c r="D43" s="13" t="s">
        <v>8</v>
      </c>
      <c r="E43" s="20" t="s">
        <v>1310</v>
      </c>
      <c r="F43" s="139">
        <v>9955</v>
      </c>
    </row>
    <row r="44" spans="1:6" ht="39" x14ac:dyDescent="0.3">
      <c r="A44" s="123" t="s">
        <v>1273</v>
      </c>
      <c r="B44" s="7" t="s">
        <v>1274</v>
      </c>
      <c r="C44" s="11" t="s">
        <v>1275</v>
      </c>
      <c r="D44" s="13" t="s">
        <v>8</v>
      </c>
      <c r="E44" s="8" t="s">
        <v>447</v>
      </c>
      <c r="F44" s="102">
        <v>11279</v>
      </c>
    </row>
    <row r="45" spans="1:6" ht="26" x14ac:dyDescent="0.3">
      <c r="A45" s="123" t="s">
        <v>1270</v>
      </c>
      <c r="B45" s="7" t="s">
        <v>1271</v>
      </c>
      <c r="C45" s="11" t="s">
        <v>1271</v>
      </c>
      <c r="D45" s="13" t="s">
        <v>8</v>
      </c>
      <c r="E45" s="8" t="s">
        <v>447</v>
      </c>
      <c r="F45" s="102">
        <v>11277</v>
      </c>
    </row>
    <row r="46" spans="1:6" ht="65" x14ac:dyDescent="0.3">
      <c r="A46" s="123" t="s">
        <v>1266</v>
      </c>
      <c r="B46" s="7" t="s">
        <v>1267</v>
      </c>
      <c r="C46" s="11" t="s">
        <v>2774</v>
      </c>
      <c r="D46" s="13" t="s">
        <v>8</v>
      </c>
      <c r="E46" s="20" t="s">
        <v>434</v>
      </c>
      <c r="F46" s="125">
        <v>11116</v>
      </c>
    </row>
    <row r="47" spans="1:6" ht="26" x14ac:dyDescent="0.3">
      <c r="A47" s="123" t="s">
        <v>441</v>
      </c>
      <c r="B47" s="7" t="s">
        <v>1268</v>
      </c>
      <c r="C47" s="11" t="s">
        <v>1269</v>
      </c>
      <c r="D47" s="13" t="s">
        <v>8</v>
      </c>
      <c r="E47" s="20" t="s">
        <v>440</v>
      </c>
      <c r="F47" s="102">
        <v>11119</v>
      </c>
    </row>
    <row r="48" spans="1:6" ht="78.5" thickBot="1" x14ac:dyDescent="0.35">
      <c r="A48" s="126" t="s">
        <v>2548</v>
      </c>
      <c r="B48" s="115" t="s">
        <v>2549</v>
      </c>
      <c r="C48" s="93" t="s">
        <v>2775</v>
      </c>
      <c r="D48" s="127" t="s">
        <v>8</v>
      </c>
      <c r="E48" s="117" t="s">
        <v>1176</v>
      </c>
      <c r="F48" s="128">
        <v>11750</v>
      </c>
    </row>
    <row r="49" spans="1:6" ht="78" x14ac:dyDescent="0.3">
      <c r="A49" s="129" t="s">
        <v>1276</v>
      </c>
      <c r="B49" s="119" t="s">
        <v>1277</v>
      </c>
      <c r="C49" s="88" t="s">
        <v>2774</v>
      </c>
      <c r="D49" s="130" t="s">
        <v>6</v>
      </c>
      <c r="E49" s="111" t="s">
        <v>1278</v>
      </c>
      <c r="F49" s="122" t="s">
        <v>1252</v>
      </c>
    </row>
    <row r="50" spans="1:6" ht="65" x14ac:dyDescent="0.3">
      <c r="A50" s="131" t="s">
        <v>1121</v>
      </c>
      <c r="B50" s="7" t="s">
        <v>1279</v>
      </c>
      <c r="C50" s="11" t="s">
        <v>1280</v>
      </c>
      <c r="D50" s="14" t="s">
        <v>6</v>
      </c>
      <c r="E50" s="20" t="s">
        <v>447</v>
      </c>
      <c r="F50" s="102">
        <v>9989</v>
      </c>
    </row>
    <row r="51" spans="1:6" ht="65" x14ac:dyDescent="0.3">
      <c r="A51" s="131" t="s">
        <v>1281</v>
      </c>
      <c r="B51" s="7" t="s">
        <v>1282</v>
      </c>
      <c r="C51" s="11" t="s">
        <v>1283</v>
      </c>
      <c r="D51" s="14" t="s">
        <v>6</v>
      </c>
      <c r="E51" s="20" t="s">
        <v>447</v>
      </c>
      <c r="F51" s="102" t="s">
        <v>1252</v>
      </c>
    </row>
    <row r="52" spans="1:6" ht="65" x14ac:dyDescent="0.3">
      <c r="A52" s="131" t="s">
        <v>1140</v>
      </c>
      <c r="B52" s="7" t="s">
        <v>1284</v>
      </c>
      <c r="C52" s="11" t="s">
        <v>1285</v>
      </c>
      <c r="D52" s="14" t="s">
        <v>6</v>
      </c>
      <c r="E52" s="20" t="s">
        <v>447</v>
      </c>
      <c r="F52" s="102">
        <v>10015</v>
      </c>
    </row>
    <row r="53" spans="1:6" ht="78" x14ac:dyDescent="0.3">
      <c r="A53" s="131" t="s">
        <v>1286</v>
      </c>
      <c r="B53" s="17" t="s">
        <v>1287</v>
      </c>
      <c r="C53" s="11" t="s">
        <v>3010</v>
      </c>
      <c r="D53" s="14" t="s">
        <v>6</v>
      </c>
      <c r="E53" s="19" t="s">
        <v>1288</v>
      </c>
      <c r="F53" s="102" t="s">
        <v>1252</v>
      </c>
    </row>
    <row r="54" spans="1:6" ht="65" x14ac:dyDescent="0.3">
      <c r="A54" s="131" t="s">
        <v>1165</v>
      </c>
      <c r="B54" s="7" t="s">
        <v>1711</v>
      </c>
      <c r="C54" s="11" t="s">
        <v>2774</v>
      </c>
      <c r="D54" s="14" t="s">
        <v>6</v>
      </c>
      <c r="E54" s="8" t="s">
        <v>1289</v>
      </c>
      <c r="F54" s="101" t="s">
        <v>1290</v>
      </c>
    </row>
    <row r="55" spans="1:6" ht="39" x14ac:dyDescent="0.3">
      <c r="A55" s="131" t="s">
        <v>1171</v>
      </c>
      <c r="B55" s="7" t="s">
        <v>1291</v>
      </c>
      <c r="C55" s="11" t="s">
        <v>2776</v>
      </c>
      <c r="D55" s="14" t="s">
        <v>6</v>
      </c>
      <c r="E55" s="20" t="s">
        <v>440</v>
      </c>
      <c r="F55" s="132">
        <v>10013</v>
      </c>
    </row>
    <row r="56" spans="1:6" ht="78" x14ac:dyDescent="0.3">
      <c r="A56" s="131" t="s">
        <v>1292</v>
      </c>
      <c r="B56" s="7" t="s">
        <v>1293</v>
      </c>
      <c r="C56" s="11" t="s">
        <v>2998</v>
      </c>
      <c r="D56" s="14" t="s">
        <v>6</v>
      </c>
      <c r="E56" s="8" t="s">
        <v>1294</v>
      </c>
      <c r="F56" s="132">
        <v>11255</v>
      </c>
    </row>
    <row r="57" spans="1:6" ht="65" x14ac:dyDescent="0.3">
      <c r="A57" s="131" t="s">
        <v>1177</v>
      </c>
      <c r="B57" s="7" t="s">
        <v>1295</v>
      </c>
      <c r="C57" s="11" t="s">
        <v>2734</v>
      </c>
      <c r="D57" s="14" t="s">
        <v>6</v>
      </c>
      <c r="E57" s="20" t="s">
        <v>1176</v>
      </c>
      <c r="F57" s="132">
        <v>8093</v>
      </c>
    </row>
    <row r="58" spans="1:6" ht="183" customHeight="1" x14ac:dyDescent="0.3">
      <c r="A58" s="131" t="s">
        <v>1709</v>
      </c>
      <c r="B58" s="7" t="s">
        <v>2780</v>
      </c>
      <c r="C58" s="11" t="s">
        <v>3012</v>
      </c>
      <c r="D58" s="14" t="s">
        <v>6</v>
      </c>
      <c r="E58" s="20" t="s">
        <v>1296</v>
      </c>
      <c r="F58" s="102">
        <v>11291</v>
      </c>
    </row>
    <row r="59" spans="1:6" ht="39.5" thickBot="1" x14ac:dyDescent="0.35">
      <c r="A59" s="133" t="s">
        <v>2560</v>
      </c>
      <c r="B59" s="115" t="s">
        <v>1297</v>
      </c>
      <c r="C59" s="93" t="s">
        <v>1298</v>
      </c>
      <c r="D59" s="134" t="s">
        <v>6</v>
      </c>
      <c r="E59" s="135" t="s">
        <v>440</v>
      </c>
      <c r="F59" s="96">
        <v>11289</v>
      </c>
    </row>
    <row r="60" spans="1:6" ht="78" x14ac:dyDescent="0.3">
      <c r="A60" s="136" t="s">
        <v>1299</v>
      </c>
      <c r="B60" s="119" t="s">
        <v>1300</v>
      </c>
      <c r="C60" s="88" t="s">
        <v>2774</v>
      </c>
      <c r="D60" s="137" t="s">
        <v>4</v>
      </c>
      <c r="E60" s="111" t="s">
        <v>1278</v>
      </c>
      <c r="F60" s="122" t="s">
        <v>1252</v>
      </c>
    </row>
    <row r="61" spans="1:6" ht="65" x14ac:dyDescent="0.3">
      <c r="A61" s="138" t="s">
        <v>1234</v>
      </c>
      <c r="B61" s="17" t="s">
        <v>1306</v>
      </c>
      <c r="C61" s="18" t="s">
        <v>2742</v>
      </c>
      <c r="D61" s="16" t="s">
        <v>4</v>
      </c>
      <c r="E61" s="20" t="s">
        <v>447</v>
      </c>
      <c r="F61" s="139">
        <v>11274</v>
      </c>
    </row>
    <row r="62" spans="1:6" ht="65" x14ac:dyDescent="0.3">
      <c r="A62" s="138" t="s">
        <v>1235</v>
      </c>
      <c r="B62" s="17" t="s">
        <v>1307</v>
      </c>
      <c r="C62" s="18" t="s">
        <v>2741</v>
      </c>
      <c r="D62" s="16" t="s">
        <v>4</v>
      </c>
      <c r="E62" s="20" t="s">
        <v>447</v>
      </c>
      <c r="F62" s="139">
        <v>11275</v>
      </c>
    </row>
    <row r="63" spans="1:6" ht="78" x14ac:dyDescent="0.3">
      <c r="A63" s="138" t="s">
        <v>1313</v>
      </c>
      <c r="B63" s="17" t="s">
        <v>1314</v>
      </c>
      <c r="C63" s="18" t="s">
        <v>3013</v>
      </c>
      <c r="D63" s="16" t="s">
        <v>4</v>
      </c>
      <c r="E63" s="20" t="s">
        <v>447</v>
      </c>
      <c r="F63" s="139">
        <v>10230</v>
      </c>
    </row>
    <row r="64" spans="1:6" ht="65" x14ac:dyDescent="0.3">
      <c r="A64" s="138" t="s">
        <v>1238</v>
      </c>
      <c r="B64" s="17" t="s">
        <v>2674</v>
      </c>
      <c r="C64" s="11" t="s">
        <v>2774</v>
      </c>
      <c r="D64" s="16" t="s">
        <v>4</v>
      </c>
      <c r="E64" s="20" t="s">
        <v>447</v>
      </c>
      <c r="F64" s="139">
        <v>11258</v>
      </c>
    </row>
    <row r="65" spans="1:6" ht="65" x14ac:dyDescent="0.3">
      <c r="A65" s="138" t="s">
        <v>1315</v>
      </c>
      <c r="B65" s="17" t="s">
        <v>1316</v>
      </c>
      <c r="C65" s="18" t="s">
        <v>3009</v>
      </c>
      <c r="D65" s="16" t="s">
        <v>4</v>
      </c>
      <c r="E65" s="20" t="s">
        <v>447</v>
      </c>
      <c r="F65" s="139">
        <v>11276</v>
      </c>
    </row>
    <row r="66" spans="1:6" ht="104" x14ac:dyDescent="0.3">
      <c r="A66" s="138" t="s">
        <v>1301</v>
      </c>
      <c r="B66" s="17" t="s">
        <v>1691</v>
      </c>
      <c r="C66" s="11" t="s">
        <v>3010</v>
      </c>
      <c r="D66" s="16" t="s">
        <v>4</v>
      </c>
      <c r="E66" s="19" t="s">
        <v>1146</v>
      </c>
      <c r="F66" s="139" t="s">
        <v>1302</v>
      </c>
    </row>
    <row r="67" spans="1:6" ht="39" x14ac:dyDescent="0.3">
      <c r="A67" s="138" t="s">
        <v>1225</v>
      </c>
      <c r="B67" s="17" t="s">
        <v>1693</v>
      </c>
      <c r="C67" s="18" t="s">
        <v>2777</v>
      </c>
      <c r="D67" s="16" t="s">
        <v>4</v>
      </c>
      <c r="E67" s="20" t="s">
        <v>440</v>
      </c>
      <c r="F67" s="139">
        <v>11262</v>
      </c>
    </row>
    <row r="68" spans="1:6" ht="26" x14ac:dyDescent="0.3">
      <c r="A68" s="138" t="s">
        <v>1226</v>
      </c>
      <c r="B68" s="17" t="s">
        <v>1303</v>
      </c>
      <c r="C68" s="18" t="s">
        <v>1692</v>
      </c>
      <c r="D68" s="16" t="s">
        <v>4</v>
      </c>
      <c r="E68" s="20" t="s">
        <v>440</v>
      </c>
      <c r="F68" s="139">
        <v>11256</v>
      </c>
    </row>
    <row r="69" spans="1:6" ht="26" x14ac:dyDescent="0.3">
      <c r="A69" s="138" t="s">
        <v>1227</v>
      </c>
      <c r="B69" s="17" t="s">
        <v>1304</v>
      </c>
      <c r="C69" s="18" t="s">
        <v>1305</v>
      </c>
      <c r="D69" s="16" t="s">
        <v>4</v>
      </c>
      <c r="E69" s="20" t="s">
        <v>440</v>
      </c>
      <c r="F69" s="139">
        <v>11257</v>
      </c>
    </row>
    <row r="70" spans="1:6" ht="65" x14ac:dyDescent="0.3">
      <c r="A70" s="138" t="s">
        <v>1230</v>
      </c>
      <c r="B70" s="17" t="s">
        <v>1308</v>
      </c>
      <c r="C70" s="18" t="s">
        <v>2737</v>
      </c>
      <c r="D70" s="16" t="s">
        <v>4</v>
      </c>
      <c r="E70" s="20" t="s">
        <v>1310</v>
      </c>
      <c r="F70" s="139">
        <v>11263</v>
      </c>
    </row>
    <row r="71" spans="1:6" ht="65" x14ac:dyDescent="0.3">
      <c r="A71" s="138" t="s">
        <v>1565</v>
      </c>
      <c r="B71" s="17" t="s">
        <v>1404</v>
      </c>
      <c r="C71" s="18" t="s">
        <v>2738</v>
      </c>
      <c r="D71" s="16" t="s">
        <v>4</v>
      </c>
      <c r="E71" s="20" t="s">
        <v>1310</v>
      </c>
      <c r="F71" s="139">
        <v>10231</v>
      </c>
    </row>
    <row r="72" spans="1:6" ht="65" x14ac:dyDescent="0.3">
      <c r="A72" s="138" t="s">
        <v>1229</v>
      </c>
      <c r="B72" s="17" t="s">
        <v>1317</v>
      </c>
      <c r="C72" s="17" t="s">
        <v>1317</v>
      </c>
      <c r="D72" s="16" t="s">
        <v>4</v>
      </c>
      <c r="E72" s="20" t="s">
        <v>1310</v>
      </c>
      <c r="F72" s="139">
        <v>11261</v>
      </c>
    </row>
    <row r="73" spans="1:6" ht="65" x14ac:dyDescent="0.3">
      <c r="A73" s="138" t="s">
        <v>1197</v>
      </c>
      <c r="B73" s="17" t="s">
        <v>2778</v>
      </c>
      <c r="C73" s="11" t="s">
        <v>1685</v>
      </c>
      <c r="D73" s="16" t="s">
        <v>4</v>
      </c>
      <c r="E73" s="20" t="s">
        <v>1310</v>
      </c>
      <c r="F73" s="139">
        <v>10228</v>
      </c>
    </row>
    <row r="74" spans="1:6" ht="65" x14ac:dyDescent="0.3">
      <c r="A74" s="140" t="s">
        <v>1233</v>
      </c>
      <c r="B74" s="7" t="s">
        <v>1318</v>
      </c>
      <c r="C74" s="11" t="s">
        <v>1319</v>
      </c>
      <c r="D74" s="15" t="s">
        <v>4</v>
      </c>
      <c r="E74" s="20" t="s">
        <v>1232</v>
      </c>
      <c r="F74" s="132">
        <v>11259</v>
      </c>
    </row>
    <row r="75" spans="1:6" ht="65" x14ac:dyDescent="0.3">
      <c r="A75" s="138" t="s">
        <v>1228</v>
      </c>
      <c r="B75" s="17" t="s">
        <v>1309</v>
      </c>
      <c r="C75" s="11" t="s">
        <v>2779</v>
      </c>
      <c r="D75" s="16" t="s">
        <v>4</v>
      </c>
      <c r="E75" s="8" t="s">
        <v>1403</v>
      </c>
      <c r="F75" s="139" t="s">
        <v>1311</v>
      </c>
    </row>
    <row r="76" spans="1:6" ht="65.5" thickBot="1" x14ac:dyDescent="0.35">
      <c r="A76" s="141" t="s">
        <v>2670</v>
      </c>
      <c r="B76" s="142" t="s">
        <v>2743</v>
      </c>
      <c r="C76" s="143" t="s">
        <v>2744</v>
      </c>
      <c r="D76" s="144" t="s">
        <v>4</v>
      </c>
      <c r="E76" s="135" t="s">
        <v>1310</v>
      </c>
      <c r="F76" s="145">
        <v>11263</v>
      </c>
    </row>
    <row r="77" spans="1:6" ht="156.5" thickBot="1" x14ac:dyDescent="0.35">
      <c r="A77" s="146" t="s">
        <v>1320</v>
      </c>
      <c r="B77" s="147" t="s">
        <v>1321</v>
      </c>
      <c r="C77" s="147" t="s">
        <v>2739</v>
      </c>
      <c r="D77" s="148" t="s">
        <v>1322</v>
      </c>
      <c r="E77" s="149" t="s">
        <v>1806</v>
      </c>
      <c r="F77" s="150" t="s">
        <v>1323</v>
      </c>
    </row>
    <row r="78" spans="1:6" ht="13.5" thickBot="1" x14ac:dyDescent="0.35">
      <c r="A78" s="179"/>
      <c r="B78" s="180"/>
      <c r="C78" s="180"/>
      <c r="D78" s="180"/>
      <c r="E78" s="180"/>
      <c r="F78" s="181"/>
    </row>
    <row r="79" spans="1:6" ht="80.150000000000006" customHeight="1" x14ac:dyDescent="0.3">
      <c r="A79" s="87" t="s">
        <v>1495</v>
      </c>
      <c r="B79" s="88" t="s">
        <v>2665</v>
      </c>
      <c r="C79" s="88" t="s">
        <v>2987</v>
      </c>
      <c r="D79" s="89" t="s">
        <v>1325</v>
      </c>
      <c r="E79" s="90" t="s">
        <v>1326</v>
      </c>
      <c r="F79" s="91">
        <v>10464</v>
      </c>
    </row>
    <row r="80" spans="1:6" ht="80.150000000000006" customHeight="1" thickBot="1" x14ac:dyDescent="0.35">
      <c r="A80" s="92" t="s">
        <v>1324</v>
      </c>
      <c r="B80" s="93" t="s">
        <v>2666</v>
      </c>
      <c r="C80" s="93" t="s">
        <v>2740</v>
      </c>
      <c r="D80" s="94" t="s">
        <v>1325</v>
      </c>
      <c r="E80" s="95" t="s">
        <v>1326</v>
      </c>
      <c r="F80" s="96">
        <v>11338</v>
      </c>
    </row>
    <row r="81" spans="1:6" ht="40" customHeight="1" thickBot="1" x14ac:dyDescent="0.35">
      <c r="A81" s="182"/>
      <c r="B81" s="183"/>
      <c r="C81" s="183"/>
      <c r="D81" s="183"/>
      <c r="E81" s="183"/>
      <c r="F81" s="184"/>
    </row>
    <row r="83" spans="1:6" ht="14.5" x14ac:dyDescent="0.35">
      <c r="A83" s="51" t="s">
        <v>1327</v>
      </c>
    </row>
    <row r="84" spans="1:6" ht="14.5" x14ac:dyDescent="0.35">
      <c r="A84" s="50" t="s">
        <v>2782</v>
      </c>
    </row>
    <row r="85" spans="1:6" ht="14.5" x14ac:dyDescent="0.35">
      <c r="A85" s="50" t="s">
        <v>2781</v>
      </c>
    </row>
  </sheetData>
  <autoFilter ref="A1:G77" xr:uid="{B32970BF-AD89-4910-863D-AE62616D34F0}"/>
  <mergeCells count="2">
    <mergeCell ref="A78:F78"/>
    <mergeCell ref="A81:F81"/>
  </mergeCells>
  <printOptions horizontalCentered="1"/>
  <pageMargins left="0.23622047244094491" right="0.23622047244094491" top="0.35433070866141736" bottom="0.35433070866141736" header="0.11811023622047245" footer="0.11811023622047245"/>
  <pageSetup paperSize="9" scale="5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51F6-5B1F-4C9A-A32E-5A090EC85FF5}">
  <dimension ref="A1:C25"/>
  <sheetViews>
    <sheetView workbookViewId="0">
      <pane ySplit="2" topLeftCell="A3" activePane="bottomLeft" state="frozen"/>
      <selection activeCell="O3" sqref="O3:T12"/>
      <selection pane="bottomLeft" activeCell="O3" sqref="O3:T12"/>
    </sheetView>
  </sheetViews>
  <sheetFormatPr defaultRowHeight="14.5" x14ac:dyDescent="0.35"/>
  <cols>
    <col min="1" max="1" width="5.36328125" style="56" customWidth="1"/>
    <col min="2" max="2" width="41" style="60" customWidth="1"/>
    <col min="3" max="3" width="29.453125" customWidth="1"/>
  </cols>
  <sheetData>
    <row r="1" spans="1:3" x14ac:dyDescent="0.35">
      <c r="A1" s="185" t="s">
        <v>2606</v>
      </c>
      <c r="B1" s="185"/>
      <c r="C1" s="185"/>
    </row>
    <row r="2" spans="1:3" x14ac:dyDescent="0.35">
      <c r="A2" s="55" t="s">
        <v>12</v>
      </c>
      <c r="B2" s="55" t="s">
        <v>2565</v>
      </c>
      <c r="C2" s="53" t="s">
        <v>2566</v>
      </c>
    </row>
    <row r="3" spans="1:3" x14ac:dyDescent="0.35">
      <c r="A3" s="54">
        <v>1</v>
      </c>
      <c r="B3" s="58" t="s">
        <v>2613</v>
      </c>
      <c r="C3" s="52"/>
    </row>
    <row r="4" spans="1:3" x14ac:dyDescent="0.35">
      <c r="A4" s="54">
        <f>A3+1</f>
        <v>2</v>
      </c>
      <c r="B4" s="58" t="s">
        <v>2614</v>
      </c>
      <c r="C4" s="52"/>
    </row>
    <row r="5" spans="1:3" x14ac:dyDescent="0.35">
      <c r="A5" s="54">
        <f t="shared" ref="A5:A23" si="0">A4+1</f>
        <v>3</v>
      </c>
      <c r="B5" s="59" t="s">
        <v>2615</v>
      </c>
      <c r="C5" s="52"/>
    </row>
    <row r="6" spans="1:3" x14ac:dyDescent="0.35">
      <c r="A6" s="54">
        <f t="shared" si="0"/>
        <v>4</v>
      </c>
      <c r="B6" s="58" t="s">
        <v>2576</v>
      </c>
      <c r="C6" s="52"/>
    </row>
    <row r="7" spans="1:3" ht="29" x14ac:dyDescent="0.35">
      <c r="A7" s="54">
        <f t="shared" si="0"/>
        <v>5</v>
      </c>
      <c r="B7" s="59" t="s">
        <v>2617</v>
      </c>
      <c r="C7" s="52"/>
    </row>
    <row r="8" spans="1:3" x14ac:dyDescent="0.35">
      <c r="A8" s="54">
        <f t="shared" si="0"/>
        <v>6</v>
      </c>
      <c r="B8" s="59" t="s">
        <v>2618</v>
      </c>
      <c r="C8" s="52"/>
    </row>
    <row r="9" spans="1:3" ht="29" x14ac:dyDescent="0.35">
      <c r="A9" s="54">
        <f t="shared" si="0"/>
        <v>7</v>
      </c>
      <c r="B9" s="59" t="s">
        <v>2572</v>
      </c>
      <c r="C9" s="52"/>
    </row>
    <row r="10" spans="1:3" x14ac:dyDescent="0.35">
      <c r="A10" s="54">
        <f t="shared" si="0"/>
        <v>8</v>
      </c>
      <c r="B10" s="58" t="s">
        <v>2619</v>
      </c>
      <c r="C10" s="52"/>
    </row>
    <row r="11" spans="1:3" ht="43.5" x14ac:dyDescent="0.35">
      <c r="A11" s="54">
        <f t="shared" si="0"/>
        <v>9</v>
      </c>
      <c r="B11" s="59" t="s">
        <v>2620</v>
      </c>
      <c r="C11" s="52"/>
    </row>
    <row r="12" spans="1:3" x14ac:dyDescent="0.35">
      <c r="A12" s="54">
        <f t="shared" si="0"/>
        <v>10</v>
      </c>
      <c r="B12" s="58" t="s">
        <v>2562</v>
      </c>
      <c r="C12" s="52"/>
    </row>
    <row r="13" spans="1:3" x14ac:dyDescent="0.35">
      <c r="A13" s="54">
        <f t="shared" si="0"/>
        <v>11</v>
      </c>
      <c r="B13" s="58" t="s">
        <v>2563</v>
      </c>
      <c r="C13" s="52"/>
    </row>
    <row r="14" spans="1:3" x14ac:dyDescent="0.35">
      <c r="A14" s="54">
        <f t="shared" si="0"/>
        <v>12</v>
      </c>
      <c r="B14" s="58" t="s">
        <v>2564</v>
      </c>
      <c r="C14" s="52"/>
    </row>
    <row r="15" spans="1:3" x14ac:dyDescent="0.35">
      <c r="A15" s="54">
        <f t="shared" si="0"/>
        <v>13</v>
      </c>
      <c r="B15" s="58" t="s">
        <v>2567</v>
      </c>
      <c r="C15" s="52"/>
    </row>
    <row r="16" spans="1:3" x14ac:dyDescent="0.35">
      <c r="A16" s="54">
        <f t="shared" si="0"/>
        <v>14</v>
      </c>
      <c r="B16" s="58" t="s">
        <v>2568</v>
      </c>
      <c r="C16" s="52"/>
    </row>
    <row r="17" spans="1:3" x14ac:dyDescent="0.35">
      <c r="A17" s="54">
        <f t="shared" si="0"/>
        <v>15</v>
      </c>
      <c r="B17" s="58" t="s">
        <v>2569</v>
      </c>
      <c r="C17" s="52"/>
    </row>
    <row r="18" spans="1:3" ht="43.5" x14ac:dyDescent="0.35">
      <c r="A18" s="54">
        <f t="shared" si="0"/>
        <v>16</v>
      </c>
      <c r="B18" s="59" t="s">
        <v>2621</v>
      </c>
      <c r="C18" s="52"/>
    </row>
    <row r="19" spans="1:3" ht="43.5" x14ac:dyDescent="0.35">
      <c r="A19" s="54">
        <f t="shared" si="0"/>
        <v>17</v>
      </c>
      <c r="B19" s="59" t="s">
        <v>2570</v>
      </c>
      <c r="C19" s="52"/>
    </row>
    <row r="20" spans="1:3" ht="29" x14ac:dyDescent="0.35">
      <c r="A20" s="54">
        <f t="shared" si="0"/>
        <v>18</v>
      </c>
      <c r="B20" s="59" t="s">
        <v>2571</v>
      </c>
      <c r="C20" s="52"/>
    </row>
    <row r="21" spans="1:3" ht="29" x14ac:dyDescent="0.35">
      <c r="A21" s="54">
        <f t="shared" si="0"/>
        <v>19</v>
      </c>
      <c r="B21" s="59" t="s">
        <v>2575</v>
      </c>
      <c r="C21" s="52"/>
    </row>
    <row r="22" spans="1:3" ht="45.5" customHeight="1" x14ac:dyDescent="0.35">
      <c r="A22" s="54">
        <f t="shared" si="0"/>
        <v>20</v>
      </c>
      <c r="B22" s="59" t="s">
        <v>2573</v>
      </c>
      <c r="C22" s="52"/>
    </row>
    <row r="23" spans="1:3" ht="60.5" customHeight="1" x14ac:dyDescent="0.35">
      <c r="A23" s="54">
        <f t="shared" si="0"/>
        <v>21</v>
      </c>
      <c r="B23" s="59" t="s">
        <v>2574</v>
      </c>
      <c r="C23" s="52"/>
    </row>
    <row r="25" spans="1:3" x14ac:dyDescent="0.35">
      <c r="A25" s="57" t="s">
        <v>2675</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4B7D-FA86-4C76-B2B4-4FAAB9A65399}">
  <dimension ref="A1:C16"/>
  <sheetViews>
    <sheetView workbookViewId="0">
      <pane ySplit="2" topLeftCell="A3" activePane="bottomLeft" state="frozen"/>
      <selection activeCell="O3" sqref="O3:T12"/>
      <selection pane="bottomLeft" activeCell="O3" sqref="O3:T12"/>
    </sheetView>
  </sheetViews>
  <sheetFormatPr defaultRowHeight="14.5" x14ac:dyDescent="0.35"/>
  <cols>
    <col min="1" max="1" width="5.36328125" style="56" customWidth="1"/>
    <col min="2" max="2" width="41" style="60" customWidth="1"/>
    <col min="3" max="3" width="29.453125" customWidth="1"/>
  </cols>
  <sheetData>
    <row r="1" spans="1:3" x14ac:dyDescent="0.35">
      <c r="A1" s="185" t="s">
        <v>2605</v>
      </c>
      <c r="B1" s="185"/>
      <c r="C1" s="185"/>
    </row>
    <row r="2" spans="1:3" x14ac:dyDescent="0.35">
      <c r="A2" s="55" t="s">
        <v>12</v>
      </c>
      <c r="B2" s="55" t="s">
        <v>2565</v>
      </c>
      <c r="C2" s="53" t="s">
        <v>2566</v>
      </c>
    </row>
    <row r="3" spans="1:3" x14ac:dyDescent="0.35">
      <c r="A3" s="54">
        <v>1</v>
      </c>
      <c r="B3" s="58" t="s">
        <v>2613</v>
      </c>
      <c r="C3" s="52"/>
    </row>
    <row r="4" spans="1:3" x14ac:dyDescent="0.35">
      <c r="A4" s="54">
        <f>A3+1</f>
        <v>2</v>
      </c>
      <c r="B4" s="58" t="s">
        <v>2614</v>
      </c>
      <c r="C4" s="52"/>
    </row>
    <row r="5" spans="1:3" x14ac:dyDescent="0.35">
      <c r="A5" s="54">
        <f t="shared" ref="A5:A14" si="0">A4+1</f>
        <v>3</v>
      </c>
      <c r="B5" s="59" t="s">
        <v>2615</v>
      </c>
      <c r="C5" s="52"/>
    </row>
    <row r="6" spans="1:3" x14ac:dyDescent="0.35">
      <c r="A6" s="54">
        <f t="shared" si="0"/>
        <v>4</v>
      </c>
      <c r="B6" s="58" t="s">
        <v>2612</v>
      </c>
      <c r="C6" s="52"/>
    </row>
    <row r="7" spans="1:3" x14ac:dyDescent="0.35">
      <c r="A7" s="54">
        <f t="shared" si="0"/>
        <v>5</v>
      </c>
      <c r="B7" s="59" t="s">
        <v>2607</v>
      </c>
      <c r="C7" s="52"/>
    </row>
    <row r="8" spans="1:3" x14ac:dyDescent="0.35">
      <c r="A8" s="54">
        <f t="shared" si="0"/>
        <v>6</v>
      </c>
      <c r="B8" s="59" t="s">
        <v>2608</v>
      </c>
      <c r="C8" s="52"/>
    </row>
    <row r="9" spans="1:3" x14ac:dyDescent="0.35">
      <c r="A9" s="54">
        <f t="shared" si="0"/>
        <v>7</v>
      </c>
      <c r="B9" s="59" t="s">
        <v>2609</v>
      </c>
      <c r="C9" s="52"/>
    </row>
    <row r="10" spans="1:3" x14ac:dyDescent="0.35">
      <c r="A10" s="54">
        <f t="shared" si="0"/>
        <v>8</v>
      </c>
      <c r="B10" s="58" t="s">
        <v>2610</v>
      </c>
      <c r="C10" s="52"/>
    </row>
    <row r="11" spans="1:3" ht="55.5" customHeight="1" x14ac:dyDescent="0.35">
      <c r="A11" s="54">
        <f t="shared" si="0"/>
        <v>9</v>
      </c>
      <c r="B11" s="58" t="s">
        <v>2611</v>
      </c>
      <c r="C11" s="52"/>
    </row>
    <row r="12" spans="1:3" x14ac:dyDescent="0.35">
      <c r="A12" s="54">
        <f t="shared" si="0"/>
        <v>10</v>
      </c>
      <c r="B12" s="58" t="s">
        <v>2616</v>
      </c>
      <c r="C12" s="52"/>
    </row>
    <row r="13" spans="1:3" ht="29" x14ac:dyDescent="0.35">
      <c r="A13" s="54">
        <f t="shared" si="0"/>
        <v>11</v>
      </c>
      <c r="B13" s="59" t="s">
        <v>2573</v>
      </c>
      <c r="C13" s="52"/>
    </row>
    <row r="14" spans="1:3" ht="29" x14ac:dyDescent="0.35">
      <c r="A14" s="54">
        <f t="shared" si="0"/>
        <v>12</v>
      </c>
      <c r="B14" s="59" t="s">
        <v>2574</v>
      </c>
      <c r="C14" s="52"/>
    </row>
    <row r="16" spans="1:3" x14ac:dyDescent="0.35">
      <c r="A16" s="57" t="s">
        <v>2675</v>
      </c>
    </row>
  </sheetData>
  <mergeCells count="1">
    <mergeCell ref="A1:C1"/>
  </mergeCells>
  <pageMargins left="0.7" right="0.7" top="0.75" bottom="0.75" header="0.3" footer="0.3"/>
</worksheet>
</file>

<file path=docMetadata/LabelInfo.xml><?xml version="1.0" encoding="utf-8"?>
<clbl:labelList xmlns:clbl="http://schemas.microsoft.com/office/2020/mipLabelMetadata">
  <clbl:label id="{bac4e201-4c2d-490c-b188-5575fa2c697c}" enabled="1" method="Standard" siteId="{8c4858b5-f020-483a-b7ef-71ded6e8176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Corporate Policy</vt:lpstr>
      <vt:lpstr>Companies List</vt:lpstr>
      <vt:lpstr>List of Documents for Claims</vt:lpstr>
      <vt:lpstr>Form - New Code</vt:lpstr>
      <vt:lpstr>Form - Deviation</vt:lpstr>
      <vt:lpstr>'Companies List'!Print_Area</vt:lpstr>
      <vt:lpstr>'List of Documents for Claims'!Print_Area</vt:lpstr>
      <vt:lpstr>'List of Documents for Claims'!Print_Titles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Corporate Policy</dc:title>
  <dc:subject/>
  <dc:creator>AGRAWAL TOSH</dc:creator>
  <cp:keywords/>
  <dc:description/>
  <cp:lastModifiedBy>SAPRE PRATEEK</cp:lastModifiedBy>
  <cp:revision/>
  <dcterms:created xsi:type="dcterms:W3CDTF">2015-06-05T18:17:20Z</dcterms:created>
  <dcterms:modified xsi:type="dcterms:W3CDTF">2026-09-03T12:27:46Z</dcterms:modified>
  <cp:category/>
  <cp:contentStatus/>
</cp:coreProperties>
</file>