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New SPAT" sheetId="8" r:id="rId1"/>
  </sheets>
  <definedNames>
    <definedName name="_xlnm.Print_Area" localSheetId="0">'New SPAT'!$B$1:$K$53</definedName>
  </definedNames>
  <calcPr calcId="144525"/>
</workbook>
</file>

<file path=xl/sharedStrings.xml><?xml version="1.0" encoding="utf-8"?>
<sst xmlns="http://schemas.openxmlformats.org/spreadsheetml/2006/main" count="63" uniqueCount="63">
  <si>
    <t>ADITYA MOTORS 
                                                                                      N.H-5,BAMPHAKUDA,PHULNAKHARA,CUTTACK,PIN-754001,                                        Price list w.e.f. 01.09.2026</t>
  </si>
  <si>
    <t>MODEL NAME</t>
  </si>
  <si>
    <t>BE6 SPORTEQ</t>
  </si>
  <si>
    <t>ODISHA</t>
  </si>
  <si>
    <t>STATE</t>
  </si>
  <si>
    <t>CUTTACK</t>
  </si>
  <si>
    <t>MODEL &amp; VARIANT</t>
  </si>
  <si>
    <t>Ex-showroom Price with Charger</t>
  </si>
  <si>
    <t>Tax Collection at Source (TCS)</t>
  </si>
  <si>
    <t>Insurance</t>
  </si>
  <si>
    <t>Essential Accessories</t>
  </si>
  <si>
    <t>Fastag</t>
  </si>
  <si>
    <t>On Road Price - Individual</t>
  </si>
  <si>
    <t>Registration without Hypothecation</t>
  </si>
  <si>
    <t>On Road Price without Hypothecation</t>
  </si>
  <si>
    <t>Registration with Hypothecation</t>
  </si>
  <si>
    <t>On Road Price with Hypothecation</t>
  </si>
  <si>
    <t>(A)</t>
  </si>
  <si>
    <t>(B)</t>
  </si>
  <si>
    <t>(C)</t>
  </si>
  <si>
    <t>(D)</t>
  </si>
  <si>
    <t>(E)</t>
  </si>
  <si>
    <t>(F)</t>
  </si>
  <si>
    <t>(G)=(A+B+C+D+E+F)</t>
  </si>
  <si>
    <t>(H)</t>
  </si>
  <si>
    <t>(I)=(A+B+C+D+E+H)</t>
  </si>
  <si>
    <t>BE 6 SPORTEQ One B59 R18 NCH</t>
  </si>
  <si>
    <t>BE 6 SPORTEQ One B59 R18 C11</t>
  </si>
  <si>
    <t>BE 6 SPORTEQ TWO B59 R19 NCH</t>
  </si>
  <si>
    <t>BE 6 SPORTEQ TWO B59 R19 C11</t>
  </si>
  <si>
    <t>BE 6 SPORTEQ THREE B59 R19 NCH</t>
  </si>
  <si>
    <t>BE 6 SPORTEQ THREE B59 R19 C11</t>
  </si>
  <si>
    <t>BE 6 SPORTEQ THREE B70 R19 NCH</t>
  </si>
  <si>
    <t>BE 6 SPORTEQ THREE B70 R19 C11</t>
  </si>
  <si>
    <t>BE 6 SPORTEQ THREE+ B70 R19 NCH</t>
  </si>
  <si>
    <t>BE 6 SPORTEQ FREEDOM THREE B79 R20 NCH</t>
  </si>
  <si>
    <t>BE 6 SPORTEQ THREE+ B70 R19 C11</t>
  </si>
  <si>
    <t>BE 6 SPORTEQ THREE+ B79 R19 NCH</t>
  </si>
  <si>
    <t>BE 6 SPORTEQ FREEDOM THREE B79 R20 C11</t>
  </si>
  <si>
    <t>BE 6 SPORTEQ THREE+ B79 R19 C11</t>
  </si>
  <si>
    <t>BE 6 SPORTEQ LAUNCH EDTN B79 R19 NCH</t>
  </si>
  <si>
    <t>BE 6 SPORTEQ FREEDOM FOUR B79 R20 NCH</t>
  </si>
  <si>
    <t>BE 6 SPORTEQ FOUR B79 R19 NCH</t>
  </si>
  <si>
    <t>BE 6 SPORTEQ FREEDOM FOUR B79 R20 C11</t>
  </si>
  <si>
    <t>BE 6 SPORTEQ LAUNCH EDTN B79 R19 C11</t>
  </si>
  <si>
    <t>BE 6 SPORTEQ FOUR B79 R19 C11</t>
  </si>
  <si>
    <t>BE 6 SPORTEQ THREE B79 R19 NCH</t>
  </si>
  <si>
    <t>BE 6 SPORTEQ THREE B79 R19 C11</t>
  </si>
  <si>
    <t>N:B-</t>
  </si>
  <si>
    <t>The buyer is free to insure his vehicle with any insurance company on his choice.Production of insurance copy to the dealer is mandatory.</t>
  </si>
  <si>
    <t>TERMS &amp; CONDITIONS</t>
  </si>
  <si>
    <t>Minimum Booking Amount Rs.21,000/-</t>
  </si>
  <si>
    <t>Price and specifications are subject to change without notice and those prevailing at the time of delivery will be applicable. Prices are effective from 01.09.2026( New price added date.07.09.26)</t>
  </si>
  <si>
    <t>Delivery will be made after receiving full &amp; final payment.</t>
  </si>
  <si>
    <t>Please submit Photocopy of PAN CARD,ADHAR CARD and RESIDENTIAL PROOF along with booking.</t>
  </si>
  <si>
    <t>Please make booking/payments against original Aditya Motors Money Receipt only.No claims would be entertained without valid money receipt.</t>
  </si>
  <si>
    <t>Above Road Tax &amp; Registration Calculated  Vehicle as OTT.</t>
  </si>
  <si>
    <t>Any dispute subject to Cuttack jurisdiction only.</t>
  </si>
  <si>
    <t>1% TCS has been applicable for sale of Vehicles above Rs.9.99 Lacs.</t>
  </si>
  <si>
    <t>Cash not to Received more than Rs 1,99,999/- against any transaction</t>
  </si>
  <si>
    <t>Private  Insurance for Three Years ( First Year OD ( Own Damage) Plus Three Years TP (Third Party).Extra Premium to be paid for additional benefits.(Engine Protection,Con,RSA,RTI,Key Replacement.)</t>
  </si>
  <si>
    <t>Essential Addons include Battery Protection, Motors Protection , Charger Protection,RSA and Zero Dep.</t>
  </si>
  <si>
    <t>Cable length upto 15 metres is included in the installation</t>
  </si>
</sst>
</file>

<file path=xl/styles.xml><?xml version="1.0" encoding="utf-8"?>
<styleSheet xmlns="http://schemas.openxmlformats.org/spreadsheetml/2006/main">
  <numFmts count="5">
    <numFmt numFmtId="176" formatCode="&quot;₹&quot;\ #,##0"/>
    <numFmt numFmtId="177" formatCode="_ * #,##0.00_ ;_ * \-#,##0.00_ ;_ * &quot;-&quot;??_ ;_ @_ "/>
    <numFmt numFmtId="178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41">
    <font>
      <sz val="10"/>
      <color rgb="FF000000"/>
      <name val="Times New Roman"/>
      <charset val="204"/>
    </font>
    <font>
      <b/>
      <sz val="9"/>
      <name val="Calibri"/>
      <charset val="204"/>
    </font>
    <font>
      <sz val="10"/>
      <color rgb="FF000000"/>
      <name val="Calibri"/>
      <charset val="204"/>
    </font>
    <font>
      <b/>
      <sz val="8.5"/>
      <color rgb="FFFFFFFF"/>
      <name val="Calibri"/>
      <charset val="134"/>
    </font>
    <font>
      <b/>
      <sz val="10"/>
      <color rgb="FF000000"/>
      <name val="Calibri"/>
      <charset val="204"/>
    </font>
    <font>
      <b/>
      <sz val="8.5"/>
      <name val="Calibri"/>
      <charset val="134"/>
    </font>
    <font>
      <b/>
      <sz val="10"/>
      <color theme="1"/>
      <name val="Calibri"/>
      <charset val="134"/>
    </font>
    <font>
      <b/>
      <sz val="7"/>
      <name val="Calibri"/>
      <charset val="134"/>
    </font>
    <font>
      <b/>
      <sz val="7"/>
      <color rgb="FFFFFFFF"/>
      <name val="Calibri"/>
      <charset val="134"/>
    </font>
    <font>
      <b/>
      <sz val="6.5"/>
      <name val="Calibri"/>
      <charset val="134"/>
    </font>
    <font>
      <sz val="11"/>
      <color indexed="8"/>
      <name val="Calibri"/>
      <charset val="0"/>
    </font>
    <font>
      <b/>
      <u/>
      <sz val="18"/>
      <name val="Calibri"/>
      <charset val="134"/>
    </font>
    <font>
      <b/>
      <sz val="16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b/>
      <sz val="12"/>
      <name val="Calibri"/>
      <charset val="134"/>
    </font>
    <font>
      <b/>
      <sz val="18"/>
      <color theme="1"/>
      <name val="Calibri"/>
      <charset val="134"/>
    </font>
    <font>
      <b/>
      <sz val="8"/>
      <name val="Calibri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color indexed="8"/>
      <name val="Arial"/>
      <charset val="0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indexed="8"/>
      <name val="Calibri"/>
      <charset val="134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24" fillId="34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178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7" fillId="15" borderId="31" applyNumberFormat="0" applyAlignment="0" applyProtection="0">
      <alignment vertical="center"/>
    </xf>
    <xf numFmtId="0" fontId="23" fillId="0" borderId="29" applyNumberFormat="0" applyFill="0" applyAlignment="0" applyProtection="0">
      <alignment vertical="center"/>
    </xf>
    <xf numFmtId="0" fontId="22" fillId="26" borderId="35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0" borderId="0"/>
    <xf numFmtId="0" fontId="18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25" borderId="34" applyNumberFormat="0" applyAlignment="0" applyProtection="0">
      <alignment vertical="center"/>
    </xf>
    <xf numFmtId="0" fontId="18" fillId="37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0" fillId="11" borderId="28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38" fillId="11" borderId="34" applyNumberFormat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32" fillId="0" borderId="0"/>
    <xf numFmtId="0" fontId="24" fillId="3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8" fillId="0" borderId="0"/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40" fillId="0" borderId="0"/>
    <xf numFmtId="0" fontId="18" fillId="31" borderId="0" applyNumberFormat="0" applyBorder="0" applyAlignment="0" applyProtection="0">
      <alignment vertical="center"/>
    </xf>
  </cellStyleXfs>
  <cellXfs count="6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1" fontId="6" fillId="3" borderId="8" xfId="2" applyNumberFormat="1" applyFont="1" applyFill="1" applyBorder="1" applyAlignment="1">
      <alignment horizontal="center" vertical="center"/>
    </xf>
    <xf numFmtId="1" fontId="6" fillId="3" borderId="8" xfId="2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 indent="2"/>
    </xf>
    <xf numFmtId="0" fontId="8" fillId="2" borderId="10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top" wrapText="1"/>
    </xf>
    <xf numFmtId="0" fontId="7" fillId="4" borderId="11" xfId="0" applyFont="1" applyFill="1" applyBorder="1" applyAlignment="1">
      <alignment horizontal="left" vertical="top" wrapText="1" indent="2"/>
    </xf>
    <xf numFmtId="0" fontId="7" fillId="5" borderId="11" xfId="0" applyFont="1" applyFill="1" applyBorder="1" applyAlignment="1">
      <alignment horizontal="center" vertical="top" wrapText="1"/>
    </xf>
    <xf numFmtId="176" fontId="9" fillId="0" borderId="12" xfId="0" applyNumberFormat="1" applyFont="1" applyFill="1" applyBorder="1" applyAlignment="1">
      <alignment horizontal="center" vertical="top" shrinkToFit="1"/>
    </xf>
    <xf numFmtId="0" fontId="9" fillId="6" borderId="13" xfId="0" applyFont="1" applyFill="1" applyBorder="1" applyAlignment="1">
      <alignment horizontal="center" vertical="top" wrapText="1"/>
    </xf>
    <xf numFmtId="0" fontId="10" fillId="0" borderId="14" xfId="47" applyFont="1" applyFill="1" applyBorder="1" applyAlignment="1"/>
    <xf numFmtId="1" fontId="6" fillId="3" borderId="14" xfId="2" applyNumberFormat="1" applyFont="1" applyFill="1" applyBorder="1" applyAlignment="1">
      <alignment horizontal="center" vertical="center"/>
    </xf>
    <xf numFmtId="0" fontId="10" fillId="0" borderId="14" xfId="11" applyFont="1" applyFill="1" applyBorder="1" applyAlignment="1">
      <alignment horizontal="center"/>
    </xf>
    <xf numFmtId="0" fontId="10" fillId="3" borderId="14" xfId="11" applyFont="1" applyFill="1" applyBorder="1"/>
    <xf numFmtId="0" fontId="10" fillId="3" borderId="14" xfId="11" applyFont="1" applyFill="1" applyBorder="1" applyAlignment="1">
      <alignment horizontal="center"/>
    </xf>
    <xf numFmtId="0" fontId="11" fillId="3" borderId="15" xfId="51" applyFont="1" applyFill="1" applyBorder="1" applyAlignment="1">
      <alignment vertical="center"/>
    </xf>
    <xf numFmtId="0" fontId="11" fillId="3" borderId="16" xfId="51" applyFont="1" applyFill="1" applyBorder="1" applyAlignment="1">
      <alignment vertical="center"/>
    </xf>
    <xf numFmtId="1" fontId="6" fillId="3" borderId="14" xfId="2" applyNumberFormat="1" applyFont="1" applyFill="1" applyBorder="1" applyAlignment="1">
      <alignment horizontal="left" vertical="center"/>
    </xf>
    <xf numFmtId="1" fontId="6" fillId="3" borderId="14" xfId="2" applyNumberFormat="1" applyFont="1" applyFill="1" applyBorder="1" applyAlignment="1">
      <alignment vertical="center" wrapText="1"/>
    </xf>
    <xf numFmtId="1" fontId="6" fillId="3" borderId="14" xfId="2" applyNumberFormat="1" applyFont="1" applyFill="1" applyBorder="1" applyAlignment="1">
      <alignment vertical="center"/>
    </xf>
    <xf numFmtId="0" fontId="12" fillId="3" borderId="5" xfId="37" applyFont="1" applyFill="1" applyBorder="1" applyAlignment="1">
      <alignment horizontal="center" vertical="center"/>
    </xf>
    <xf numFmtId="0" fontId="12" fillId="3" borderId="0" xfId="51" applyFont="1" applyFill="1" applyBorder="1" applyAlignment="1">
      <alignment vertical="center" wrapText="1"/>
    </xf>
    <xf numFmtId="0" fontId="13" fillId="3" borderId="5" xfId="37" applyFont="1" applyFill="1" applyBorder="1" applyAlignment="1">
      <alignment horizontal="center" vertical="center"/>
    </xf>
    <xf numFmtId="0" fontId="13" fillId="3" borderId="0" xfId="37" applyFont="1" applyFill="1" applyBorder="1" applyAlignment="1">
      <alignment horizontal="center" vertical="center"/>
    </xf>
    <xf numFmtId="0" fontId="14" fillId="3" borderId="17" xfId="37" applyFont="1" applyFill="1" applyBorder="1" applyAlignment="1">
      <alignment vertical="center"/>
    </xf>
    <xf numFmtId="0" fontId="2" fillId="0" borderId="18" xfId="0" applyFont="1" applyFill="1" applyBorder="1" applyAlignment="1">
      <alignment horizontal="left" vertical="top"/>
    </xf>
    <xf numFmtId="0" fontId="15" fillId="3" borderId="18" xfId="37" applyFont="1" applyFill="1" applyBorder="1" applyAlignment="1">
      <alignment vertical="center"/>
    </xf>
    <xf numFmtId="0" fontId="16" fillId="3" borderId="18" xfId="37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top" wrapText="1"/>
    </xf>
    <xf numFmtId="0" fontId="2" fillId="0" borderId="20" xfId="0" applyFont="1" applyFill="1" applyBorder="1" applyAlignment="1">
      <alignment horizontal="left" vertical="center" wrapText="1"/>
    </xf>
    <xf numFmtId="0" fontId="2" fillId="0" borderId="21" xfId="0" applyFont="1" applyFill="1" applyBorder="1" applyAlignment="1">
      <alignment horizontal="left" wrapText="1"/>
    </xf>
    <xf numFmtId="0" fontId="2" fillId="0" borderId="22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vertical="top" wrapText="1"/>
    </xf>
    <xf numFmtId="0" fontId="7" fillId="5" borderId="23" xfId="0" applyFont="1" applyFill="1" applyBorder="1" applyAlignment="1">
      <alignment horizontal="center" vertical="top" wrapText="1"/>
    </xf>
    <xf numFmtId="0" fontId="9" fillId="6" borderId="24" xfId="0" applyFont="1" applyFill="1" applyBorder="1" applyAlignment="1">
      <alignment horizontal="center" vertical="top" wrapText="1"/>
    </xf>
    <xf numFmtId="1" fontId="17" fillId="3" borderId="14" xfId="2" applyNumberFormat="1" applyFont="1" applyFill="1" applyBorder="1" applyAlignment="1">
      <alignment horizontal="center" vertical="center"/>
    </xf>
    <xf numFmtId="1" fontId="17" fillId="3" borderId="25" xfId="2" applyNumberFormat="1" applyFont="1" applyFill="1" applyBorder="1" applyAlignment="1">
      <alignment horizontal="center" vertical="center"/>
    </xf>
    <xf numFmtId="0" fontId="11" fillId="3" borderId="26" xfId="51" applyFont="1" applyFill="1" applyBorder="1" applyAlignment="1">
      <alignment vertical="center"/>
    </xf>
    <xf numFmtId="1" fontId="6" fillId="3" borderId="25" xfId="2" applyNumberFormat="1" applyFont="1" applyFill="1" applyBorder="1" applyAlignment="1">
      <alignment horizontal="left" vertical="center"/>
    </xf>
    <xf numFmtId="1" fontId="6" fillId="3" borderId="25" xfId="2" applyNumberFormat="1" applyFont="1" applyFill="1" applyBorder="1" applyAlignment="1">
      <alignment horizontal="center" vertical="center"/>
    </xf>
    <xf numFmtId="1" fontId="6" fillId="3" borderId="25" xfId="2" applyNumberFormat="1" applyFont="1" applyFill="1" applyBorder="1" applyAlignment="1">
      <alignment vertical="center" wrapText="1"/>
    </xf>
    <xf numFmtId="1" fontId="6" fillId="3" borderId="25" xfId="2" applyNumberFormat="1" applyFont="1" applyFill="1" applyBorder="1" applyAlignment="1">
      <alignment vertical="center"/>
    </xf>
    <xf numFmtId="0" fontId="12" fillId="3" borderId="21" xfId="51" applyFont="1" applyFill="1" applyBorder="1" applyAlignment="1">
      <alignment vertical="center" wrapText="1"/>
    </xf>
    <xf numFmtId="0" fontId="13" fillId="3" borderId="21" xfId="37" applyFont="1" applyFill="1" applyBorder="1" applyAlignment="1">
      <alignment horizontal="center" vertical="center"/>
    </xf>
    <xf numFmtId="0" fontId="16" fillId="3" borderId="18" xfId="37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left" vertical="top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Normal_Sheet1" xfId="11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Normal 3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Normal_Sheet2" xfId="47"/>
    <cellStyle name="60% - Accent5" xfId="48" builtinId="48"/>
    <cellStyle name="Accent6" xfId="49" builtinId="49"/>
    <cellStyle name="40% - Accent6" xfId="50" builtinId="51"/>
    <cellStyle name="Normal_Sheet1 2" xfId="51"/>
    <cellStyle name="60% - Accent6" xfId="52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657860</xdr:colOff>
      <xdr:row>2</xdr:row>
      <xdr:rowOff>0</xdr:rowOff>
    </xdr:from>
    <xdr:to>
      <xdr:col>4</xdr:col>
      <xdr:colOff>924560</xdr:colOff>
      <xdr:row>2</xdr:row>
      <xdr:rowOff>140970</xdr:rowOff>
    </xdr:to>
    <xdr:sp>
      <xdr:nvSpPr>
        <xdr:cNvPr id="2" name="Shape 5"/>
        <xdr:cNvSpPr/>
      </xdr:nvSpPr>
      <xdr:spPr>
        <a:xfrm>
          <a:off x="5439410" y="701675"/>
          <a:ext cx="952500" cy="140970"/>
        </a:xfrm>
        <a:custGeom>
          <a:avLst/>
          <a:gdLst/>
          <a:ahLst/>
          <a:cxnLst/>
          <a:pathLst>
            <a:path w="951230" h="140970">
              <a:moveTo>
                <a:pt x="950976" y="135940"/>
              </a:moveTo>
              <a:lnTo>
                <a:pt x="950963" y="0"/>
              </a:lnTo>
              <a:lnTo>
                <a:pt x="946404" y="0"/>
              </a:lnTo>
              <a:lnTo>
                <a:pt x="946404" y="135940"/>
              </a:lnTo>
              <a:lnTo>
                <a:pt x="4572" y="135940"/>
              </a:lnTo>
              <a:lnTo>
                <a:pt x="4572" y="0"/>
              </a:lnTo>
              <a:lnTo>
                <a:pt x="0" y="0"/>
              </a:lnTo>
              <a:lnTo>
                <a:pt x="0" y="140512"/>
              </a:lnTo>
              <a:lnTo>
                <a:pt x="4572" y="140512"/>
              </a:lnTo>
              <a:lnTo>
                <a:pt x="946404" y="140512"/>
              </a:lnTo>
              <a:lnTo>
                <a:pt x="950963" y="140512"/>
              </a:lnTo>
              <a:lnTo>
                <a:pt x="950976" y="13594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twoCellAnchor>
  <xdr:oneCellAnchor>
    <xdr:from>
      <xdr:col>1</xdr:col>
      <xdr:colOff>8788</xdr:colOff>
      <xdr:row>0</xdr:row>
      <xdr:rowOff>35826</xdr:rowOff>
    </xdr:from>
    <xdr:ext cx="1857375" cy="333439"/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605" y="35560"/>
          <a:ext cx="1857375" cy="333375"/>
        </a:xfrm>
        <a:prstGeom prst="rect">
          <a:avLst/>
        </a:prstGeom>
      </xdr:spPr>
    </xdr:pic>
    <xdr:clientData/>
  </xdr:oneCellAnchor>
  <xdr:oneCellAnchor>
    <xdr:from>
      <xdr:col>1</xdr:col>
      <xdr:colOff>8788</xdr:colOff>
      <xdr:row>0</xdr:row>
      <xdr:rowOff>35826</xdr:rowOff>
    </xdr:from>
    <xdr:ext cx="1857375" cy="333439"/>
    <xdr:pic>
      <xdr:nvPicPr>
        <xdr:cNvPr id="4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605" y="35560"/>
          <a:ext cx="1857375" cy="333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K53"/>
  <sheetViews>
    <sheetView tabSelected="1" topLeftCell="A43" workbookViewId="0">
      <selection activeCell="B53" sqref="B53"/>
    </sheetView>
  </sheetViews>
  <sheetFormatPr defaultColWidth="9" defaultRowHeight="12.75"/>
  <cols>
    <col min="2" max="2" width="51.3333333333333" customWidth="1"/>
    <col min="3" max="3" width="23.3333333333333" customWidth="1"/>
    <col min="4" max="4" width="12" customWidth="1"/>
    <col min="5" max="5" width="17.1111111111111" customWidth="1"/>
    <col min="6" max="7" width="12" customWidth="1"/>
    <col min="8" max="8" width="13.5555555555556" customWidth="1"/>
    <col min="9" max="9" width="17.7777777777778" customWidth="1"/>
    <col min="10" max="10" width="14.6666666666667" customWidth="1"/>
    <col min="11" max="11" width="18.1111111111111" customWidth="1"/>
  </cols>
  <sheetData>
    <row r="1" ht="39" customHeight="1" spans="2:11">
      <c r="B1" s="1" t="s">
        <v>0</v>
      </c>
      <c r="C1" s="2"/>
      <c r="D1" s="2"/>
      <c r="E1" s="2"/>
      <c r="F1" s="2"/>
      <c r="G1" s="2"/>
      <c r="H1" s="2"/>
      <c r="I1" s="2"/>
      <c r="J1" s="2"/>
      <c r="K1" s="44"/>
    </row>
    <row r="2" ht="16.25" customHeight="1" spans="2:11">
      <c r="B2" s="3"/>
      <c r="C2" s="4"/>
      <c r="D2" s="4"/>
      <c r="E2" s="4"/>
      <c r="F2" s="4"/>
      <c r="G2" s="4"/>
      <c r="H2" s="4"/>
      <c r="I2" s="4"/>
      <c r="J2" s="4"/>
      <c r="K2" s="45"/>
    </row>
    <row r="3" ht="12" customHeight="1" spans="2:11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9"/>
      <c r="H3" s="9"/>
      <c r="I3" s="7"/>
      <c r="J3" s="7"/>
      <c r="K3" s="46"/>
    </row>
    <row r="4" ht="13.25" customHeight="1" spans="2:11">
      <c r="B4" s="10"/>
      <c r="C4" s="11"/>
      <c r="D4" s="11"/>
      <c r="E4" s="11"/>
      <c r="F4" s="11"/>
      <c r="G4" s="11"/>
      <c r="H4" s="11"/>
      <c r="I4" s="11"/>
      <c r="J4" s="11"/>
      <c r="K4" s="47"/>
    </row>
    <row r="5" ht="21.75" customHeight="1" spans="2:11">
      <c r="B5" s="12" t="s">
        <v>6</v>
      </c>
      <c r="C5" s="13" t="s">
        <v>7</v>
      </c>
      <c r="D5" s="14" t="s">
        <v>8</v>
      </c>
      <c r="E5" s="15" t="s">
        <v>9</v>
      </c>
      <c r="F5" s="16" t="s">
        <v>10</v>
      </c>
      <c r="G5" s="17" t="s">
        <v>11</v>
      </c>
      <c r="H5" s="18" t="s">
        <v>12</v>
      </c>
      <c r="I5" s="48"/>
      <c r="J5" s="48"/>
      <c r="K5" s="49"/>
    </row>
    <row r="6" ht="45" customHeight="1" spans="2:11">
      <c r="B6" s="12"/>
      <c r="C6" s="13"/>
      <c r="D6" s="19"/>
      <c r="E6" s="20"/>
      <c r="F6" s="21"/>
      <c r="G6" s="22"/>
      <c r="H6" s="23" t="s">
        <v>13</v>
      </c>
      <c r="I6" s="23" t="s">
        <v>14</v>
      </c>
      <c r="J6" s="23" t="s">
        <v>15</v>
      </c>
      <c r="K6" s="50" t="s">
        <v>16</v>
      </c>
    </row>
    <row r="7" ht="21.75" customHeight="1" spans="2:11">
      <c r="B7" s="12"/>
      <c r="C7" s="24" t="s">
        <v>17</v>
      </c>
      <c r="D7" s="25" t="s">
        <v>18</v>
      </c>
      <c r="E7" s="25" t="s">
        <v>19</v>
      </c>
      <c r="F7" s="25" t="s">
        <v>20</v>
      </c>
      <c r="G7" s="25" t="s">
        <v>21</v>
      </c>
      <c r="H7" s="25" t="s">
        <v>22</v>
      </c>
      <c r="I7" s="25" t="s">
        <v>23</v>
      </c>
      <c r="J7" s="25" t="s">
        <v>24</v>
      </c>
      <c r="K7" s="51" t="s">
        <v>25</v>
      </c>
    </row>
    <row r="8" ht="25" customHeight="1" spans="2:11">
      <c r="B8" s="26" t="s">
        <v>26</v>
      </c>
      <c r="C8" s="27">
        <v>1945000.50624021</v>
      </c>
      <c r="D8" s="27">
        <f t="shared" ref="D8:D29" si="0">C8*1%</f>
        <v>19450.0050624021</v>
      </c>
      <c r="E8" s="27">
        <v>83940.3333059854</v>
      </c>
      <c r="F8" s="27">
        <v>25000</v>
      </c>
      <c r="G8" s="27">
        <v>500</v>
      </c>
      <c r="H8" s="27">
        <v>140</v>
      </c>
      <c r="I8" s="27">
        <f t="shared" ref="I8:I29" si="1">H8+G8+F8+E8+D8+C8</f>
        <v>2074030.8446086</v>
      </c>
      <c r="J8" s="52">
        <v>1640</v>
      </c>
      <c r="K8" s="53">
        <f t="shared" ref="K8:K29" si="2">+J8+G8+F8+E8+D8+C8</f>
        <v>2075530.8446086</v>
      </c>
    </row>
    <row r="9" ht="25" customHeight="1" spans="2:11">
      <c r="B9" s="26" t="s">
        <v>27</v>
      </c>
      <c r="C9" s="27">
        <v>2019998.98542825</v>
      </c>
      <c r="D9" s="27">
        <f t="shared" si="0"/>
        <v>20199.9898542825</v>
      </c>
      <c r="E9" s="27">
        <v>86157.5142462032</v>
      </c>
      <c r="F9" s="27">
        <v>25000</v>
      </c>
      <c r="G9" s="27">
        <v>500</v>
      </c>
      <c r="H9" s="27">
        <v>140</v>
      </c>
      <c r="I9" s="27">
        <f t="shared" si="1"/>
        <v>2151996.48952874</v>
      </c>
      <c r="J9" s="52">
        <v>1640</v>
      </c>
      <c r="K9" s="53">
        <f t="shared" si="2"/>
        <v>2153496.48952874</v>
      </c>
    </row>
    <row r="10" ht="25" customHeight="1" spans="2:11">
      <c r="B10" s="26" t="s">
        <v>28</v>
      </c>
      <c r="C10" s="27">
        <v>2094999.49261728</v>
      </c>
      <c r="D10" s="27">
        <f t="shared" si="0"/>
        <v>20949.9949261728</v>
      </c>
      <c r="E10" s="27">
        <v>88374.7551402386</v>
      </c>
      <c r="F10" s="27">
        <v>25000</v>
      </c>
      <c r="G10" s="27">
        <v>500</v>
      </c>
      <c r="H10" s="27">
        <v>140</v>
      </c>
      <c r="I10" s="27">
        <f t="shared" si="1"/>
        <v>2229964.24268369</v>
      </c>
      <c r="J10" s="52">
        <v>1640</v>
      </c>
      <c r="K10" s="53">
        <f t="shared" si="2"/>
        <v>2231464.24268369</v>
      </c>
    </row>
    <row r="11" ht="25" customHeight="1" spans="2:11">
      <c r="B11" s="26" t="s">
        <v>29</v>
      </c>
      <c r="C11" s="27">
        <v>2169998.99441692</v>
      </c>
      <c r="D11" s="27">
        <f t="shared" si="0"/>
        <v>21699.9899441692</v>
      </c>
      <c r="E11" s="27">
        <v>90591.9663119353</v>
      </c>
      <c r="F11" s="27">
        <v>25000</v>
      </c>
      <c r="G11" s="27">
        <v>500</v>
      </c>
      <c r="H11" s="27">
        <v>140</v>
      </c>
      <c r="I11" s="27">
        <f t="shared" si="1"/>
        <v>2307930.95067302</v>
      </c>
      <c r="J11" s="52">
        <v>1640</v>
      </c>
      <c r="K11" s="53">
        <f t="shared" si="2"/>
        <v>2309430.95067302</v>
      </c>
    </row>
    <row r="12" ht="25" customHeight="1" spans="2:11">
      <c r="B12" s="26" t="s">
        <v>30</v>
      </c>
      <c r="C12" s="27">
        <v>2194999.49897022</v>
      </c>
      <c r="D12" s="27">
        <f t="shared" si="0"/>
        <v>21949.9949897022</v>
      </c>
      <c r="E12" s="27">
        <v>91331.0565280506</v>
      </c>
      <c r="F12" s="27">
        <v>25000</v>
      </c>
      <c r="G12" s="27">
        <v>500</v>
      </c>
      <c r="H12" s="27">
        <v>140</v>
      </c>
      <c r="I12" s="27">
        <f t="shared" si="1"/>
        <v>2333920.55048797</v>
      </c>
      <c r="J12" s="52">
        <v>1640</v>
      </c>
      <c r="K12" s="53">
        <f t="shared" si="2"/>
        <v>2335420.55048797</v>
      </c>
    </row>
    <row r="13" ht="25" customHeight="1" spans="2:11">
      <c r="B13" s="26" t="s">
        <v>31</v>
      </c>
      <c r="C13" s="27">
        <v>2269998.99896797</v>
      </c>
      <c r="D13" s="27">
        <f t="shared" si="0"/>
        <v>22699.9899896797</v>
      </c>
      <c r="E13" s="27">
        <v>93548.2676464781</v>
      </c>
      <c r="F13" s="27">
        <v>25000</v>
      </c>
      <c r="G13" s="27">
        <v>500</v>
      </c>
      <c r="H13" s="27">
        <v>140</v>
      </c>
      <c r="I13" s="27">
        <f t="shared" si="1"/>
        <v>2411887.25660413</v>
      </c>
      <c r="J13" s="52">
        <v>1640</v>
      </c>
      <c r="K13" s="53">
        <f t="shared" si="2"/>
        <v>2413387.25660413</v>
      </c>
    </row>
    <row r="14" ht="25" customHeight="1" spans="2:11">
      <c r="B14" s="26" t="s">
        <v>32</v>
      </c>
      <c r="C14" s="27">
        <v>2294999.49234076</v>
      </c>
      <c r="D14" s="27">
        <f t="shared" si="0"/>
        <v>22949.9949234076</v>
      </c>
      <c r="E14" s="27">
        <v>94287.3575320638</v>
      </c>
      <c r="F14" s="27">
        <v>25000</v>
      </c>
      <c r="G14" s="27">
        <v>500</v>
      </c>
      <c r="H14" s="27">
        <v>140</v>
      </c>
      <c r="I14" s="27">
        <f t="shared" si="1"/>
        <v>2437876.84479623</v>
      </c>
      <c r="J14" s="52">
        <v>1640</v>
      </c>
      <c r="K14" s="53">
        <f t="shared" si="2"/>
        <v>2439376.84479623</v>
      </c>
    </row>
    <row r="15" ht="25" customHeight="1" spans="2:11">
      <c r="B15" s="26" t="s">
        <v>33</v>
      </c>
      <c r="C15" s="27">
        <v>2370000.008505</v>
      </c>
      <c r="D15" s="27">
        <f t="shared" si="0"/>
        <v>23700.00008505</v>
      </c>
      <c r="E15" s="27">
        <v>96504.5986914334</v>
      </c>
      <c r="F15" s="27">
        <v>25000</v>
      </c>
      <c r="G15" s="27">
        <v>500</v>
      </c>
      <c r="H15" s="27">
        <v>140</v>
      </c>
      <c r="I15" s="27">
        <f t="shared" si="1"/>
        <v>2515844.60728148</v>
      </c>
      <c r="J15" s="52">
        <v>1640</v>
      </c>
      <c r="K15" s="53">
        <f t="shared" si="2"/>
        <v>2517344.60728148</v>
      </c>
    </row>
    <row r="16" ht="25" customHeight="1" spans="2:11">
      <c r="B16" s="26" t="s">
        <v>34</v>
      </c>
      <c r="C16" s="27">
        <v>2394999.4909837</v>
      </c>
      <c r="D16" s="27">
        <f t="shared" si="0"/>
        <v>23949.994909837</v>
      </c>
      <c r="E16" s="27">
        <v>97243.658691945</v>
      </c>
      <c r="F16" s="27">
        <v>25000</v>
      </c>
      <c r="G16" s="27">
        <v>500</v>
      </c>
      <c r="H16" s="27">
        <v>140</v>
      </c>
      <c r="I16" s="27">
        <f t="shared" si="1"/>
        <v>2541833.14458548</v>
      </c>
      <c r="J16" s="52">
        <v>1640</v>
      </c>
      <c r="K16" s="53">
        <f t="shared" si="2"/>
        <v>2543333.14458548</v>
      </c>
    </row>
    <row r="17" ht="25" customHeight="1" spans="2:11">
      <c r="B17" s="26" t="s">
        <v>35</v>
      </c>
      <c r="C17" s="27">
        <v>2444999.49885293</v>
      </c>
      <c r="D17" s="27">
        <f t="shared" si="0"/>
        <v>24449.9949885293</v>
      </c>
      <c r="E17" s="27">
        <v>98721.8095245832</v>
      </c>
      <c r="F17" s="27">
        <v>25000</v>
      </c>
      <c r="G17" s="27">
        <v>500</v>
      </c>
      <c r="H17" s="27">
        <v>140</v>
      </c>
      <c r="I17" s="27">
        <f t="shared" si="1"/>
        <v>2593811.30336604</v>
      </c>
      <c r="J17" s="52">
        <v>1640</v>
      </c>
      <c r="K17" s="53">
        <f t="shared" si="2"/>
        <v>2595311.30336604</v>
      </c>
    </row>
    <row r="18" ht="25" customHeight="1" spans="2:11">
      <c r="B18" s="26" t="s">
        <v>36</v>
      </c>
      <c r="C18" s="27">
        <v>2469999.98041145</v>
      </c>
      <c r="D18" s="27">
        <f t="shared" si="0"/>
        <v>24699.9998041145</v>
      </c>
      <c r="E18" s="27">
        <v>99460.8990609035</v>
      </c>
      <c r="F18" s="27">
        <v>25000</v>
      </c>
      <c r="G18" s="27">
        <v>500</v>
      </c>
      <c r="H18" s="27">
        <v>140</v>
      </c>
      <c r="I18" s="27">
        <f t="shared" si="1"/>
        <v>2619800.87927647</v>
      </c>
      <c r="J18" s="52">
        <v>1640</v>
      </c>
      <c r="K18" s="53">
        <f t="shared" si="2"/>
        <v>2621300.87927647</v>
      </c>
    </row>
    <row r="19" ht="25" customHeight="1" spans="2:11">
      <c r="B19" s="26" t="s">
        <v>37</v>
      </c>
      <c r="C19" s="27">
        <v>2494999.49214075</v>
      </c>
      <c r="D19" s="27">
        <f t="shared" si="0"/>
        <v>24949.9949214075</v>
      </c>
      <c r="E19" s="27">
        <v>100199.959926151</v>
      </c>
      <c r="F19" s="27">
        <v>25000</v>
      </c>
      <c r="G19" s="27">
        <v>500</v>
      </c>
      <c r="H19" s="27">
        <v>140</v>
      </c>
      <c r="I19" s="27">
        <f t="shared" si="1"/>
        <v>2645789.44698831</v>
      </c>
      <c r="J19" s="52">
        <v>1640</v>
      </c>
      <c r="K19" s="53">
        <f t="shared" si="2"/>
        <v>2647289.44698831</v>
      </c>
    </row>
    <row r="20" ht="25" customHeight="1" spans="2:11">
      <c r="B20" s="26" t="s">
        <v>38</v>
      </c>
      <c r="C20" s="27">
        <v>2519999.99885431</v>
      </c>
      <c r="D20" s="27">
        <f t="shared" si="0"/>
        <v>25199.9999885431</v>
      </c>
      <c r="E20" s="27">
        <v>100939.05020613</v>
      </c>
      <c r="F20" s="27">
        <v>25000</v>
      </c>
      <c r="G20" s="27">
        <v>500</v>
      </c>
      <c r="H20" s="27">
        <v>140</v>
      </c>
      <c r="I20" s="27">
        <f t="shared" si="1"/>
        <v>2671779.04904898</v>
      </c>
      <c r="J20" s="52">
        <v>1640</v>
      </c>
      <c r="K20" s="53">
        <f t="shared" si="2"/>
        <v>2673279.04904898</v>
      </c>
    </row>
    <row r="21" ht="25" customHeight="1" spans="2:11">
      <c r="B21" s="26" t="s">
        <v>39</v>
      </c>
      <c r="C21" s="27">
        <v>2569999.99567171</v>
      </c>
      <c r="D21" s="27">
        <f t="shared" si="0"/>
        <v>25699.9999567171</v>
      </c>
      <c r="E21" s="27">
        <v>102417.200712043</v>
      </c>
      <c r="F21" s="27">
        <v>25000</v>
      </c>
      <c r="G21" s="27">
        <v>500</v>
      </c>
      <c r="H21" s="27">
        <v>140</v>
      </c>
      <c r="I21" s="27">
        <f t="shared" si="1"/>
        <v>2723757.19634047</v>
      </c>
      <c r="J21" s="52">
        <v>1640</v>
      </c>
      <c r="K21" s="53">
        <f t="shared" si="2"/>
        <v>2725257.19634047</v>
      </c>
    </row>
    <row r="22" ht="25" customHeight="1" spans="2:11">
      <c r="B22" s="26" t="s">
        <v>40</v>
      </c>
      <c r="C22" s="27">
        <v>2694999.49151075</v>
      </c>
      <c r="D22" s="27">
        <f t="shared" si="0"/>
        <v>26949.9949151075</v>
      </c>
      <c r="E22" s="27">
        <v>106112.562307526</v>
      </c>
      <c r="F22" s="27">
        <v>25000</v>
      </c>
      <c r="G22" s="27">
        <v>500</v>
      </c>
      <c r="H22" s="27">
        <v>140</v>
      </c>
      <c r="I22" s="27">
        <f t="shared" si="1"/>
        <v>2853702.04873338</v>
      </c>
      <c r="J22" s="52">
        <v>1640</v>
      </c>
      <c r="K22" s="53">
        <f t="shared" si="2"/>
        <v>2855202.04873338</v>
      </c>
    </row>
    <row r="23" ht="25" customHeight="1" spans="2:11">
      <c r="B23" s="26" t="s">
        <v>41</v>
      </c>
      <c r="C23" s="27">
        <v>2694999.49306618</v>
      </c>
      <c r="D23" s="27">
        <f t="shared" si="0"/>
        <v>26949.9949306618</v>
      </c>
      <c r="E23" s="27">
        <v>106112.562353509</v>
      </c>
      <c r="F23" s="28">
        <v>25000</v>
      </c>
      <c r="G23" s="28">
        <v>500</v>
      </c>
      <c r="H23" s="28">
        <v>140</v>
      </c>
      <c r="I23" s="27">
        <f t="shared" si="1"/>
        <v>2853702.05035035</v>
      </c>
      <c r="J23" s="52">
        <v>1640</v>
      </c>
      <c r="K23" s="53">
        <f t="shared" si="2"/>
        <v>2855202.05035035</v>
      </c>
    </row>
    <row r="24" ht="25" customHeight="1" spans="2:11">
      <c r="B24" s="26" t="s">
        <v>42</v>
      </c>
      <c r="C24" s="27">
        <v>2694999.49895709</v>
      </c>
      <c r="D24" s="27">
        <f t="shared" si="0"/>
        <v>26949.9949895709</v>
      </c>
      <c r="E24" s="27">
        <v>106112.562527662</v>
      </c>
      <c r="F24" s="28">
        <v>25000</v>
      </c>
      <c r="G24" s="28">
        <v>500</v>
      </c>
      <c r="H24" s="28">
        <v>140</v>
      </c>
      <c r="I24" s="27">
        <f t="shared" si="1"/>
        <v>2853702.05647432</v>
      </c>
      <c r="J24" s="52">
        <v>1640</v>
      </c>
      <c r="K24" s="53">
        <f t="shared" si="2"/>
        <v>2855202.05647432</v>
      </c>
    </row>
    <row r="25" ht="25" customHeight="1" spans="2:11">
      <c r="B25" s="26" t="s">
        <v>43</v>
      </c>
      <c r="C25" s="27">
        <v>2769999.9902386</v>
      </c>
      <c r="D25" s="27">
        <f t="shared" si="0"/>
        <v>27699.999902386</v>
      </c>
      <c r="E25" s="27">
        <v>108329.802951424</v>
      </c>
      <c r="F25" s="28">
        <v>25000</v>
      </c>
      <c r="G25" s="28">
        <v>500</v>
      </c>
      <c r="H25" s="28">
        <v>140</v>
      </c>
      <c r="I25" s="27">
        <f t="shared" si="1"/>
        <v>2931669.79309241</v>
      </c>
      <c r="J25" s="52">
        <v>1640</v>
      </c>
      <c r="K25" s="53">
        <f t="shared" si="2"/>
        <v>2933169.79309241</v>
      </c>
    </row>
    <row r="26" ht="25" customHeight="1" spans="2:11">
      <c r="B26" s="26" t="s">
        <v>44</v>
      </c>
      <c r="C26" s="27">
        <v>2769999.99533488</v>
      </c>
      <c r="D26" s="27">
        <f t="shared" si="0"/>
        <v>27699.9999533488</v>
      </c>
      <c r="E26" s="27">
        <v>108329.803102085</v>
      </c>
      <c r="F26" s="28">
        <v>25000</v>
      </c>
      <c r="G26" s="28">
        <v>500</v>
      </c>
      <c r="H26" s="28">
        <v>140</v>
      </c>
      <c r="I26" s="27">
        <f t="shared" si="1"/>
        <v>2931669.79839031</v>
      </c>
      <c r="J26" s="52">
        <v>1640</v>
      </c>
      <c r="K26" s="53">
        <f t="shared" si="2"/>
        <v>2933169.79839031</v>
      </c>
    </row>
    <row r="27" ht="25" customHeight="1" spans="2:11">
      <c r="B27" s="26" t="s">
        <v>45</v>
      </c>
      <c r="C27" s="27">
        <v>2770000.00657317</v>
      </c>
      <c r="D27" s="27">
        <f t="shared" si="0"/>
        <v>27700.0000657317</v>
      </c>
      <c r="E27" s="27">
        <v>108329.803434323</v>
      </c>
      <c r="F27" s="28">
        <v>25000</v>
      </c>
      <c r="G27" s="28">
        <v>500</v>
      </c>
      <c r="H27" s="28">
        <v>140</v>
      </c>
      <c r="I27" s="27">
        <f t="shared" si="1"/>
        <v>2931669.81007322</v>
      </c>
      <c r="J27" s="52">
        <v>1640</v>
      </c>
      <c r="K27" s="53">
        <f t="shared" si="2"/>
        <v>2933169.81007322</v>
      </c>
    </row>
    <row r="28" ht="25" customHeight="1" spans="2:11">
      <c r="B28" s="29" t="s">
        <v>46</v>
      </c>
      <c r="C28" s="27">
        <v>2394999.5</v>
      </c>
      <c r="D28" s="27">
        <f t="shared" si="0"/>
        <v>23949.995</v>
      </c>
      <c r="E28" s="27">
        <v>97244</v>
      </c>
      <c r="F28" s="30">
        <v>25000</v>
      </c>
      <c r="G28" s="30">
        <v>500</v>
      </c>
      <c r="H28" s="30">
        <v>140</v>
      </c>
      <c r="I28" s="27">
        <f t="shared" si="1"/>
        <v>2541833.495</v>
      </c>
      <c r="J28" s="52">
        <v>1640</v>
      </c>
      <c r="K28" s="53">
        <f t="shared" si="2"/>
        <v>2543333.495</v>
      </c>
    </row>
    <row r="29" ht="25" customHeight="1" spans="2:11">
      <c r="B29" s="29" t="s">
        <v>47</v>
      </c>
      <c r="C29" s="27">
        <v>2470000</v>
      </c>
      <c r="D29" s="27">
        <f t="shared" si="0"/>
        <v>24700</v>
      </c>
      <c r="E29" s="27">
        <v>99461</v>
      </c>
      <c r="F29" s="30">
        <v>25000</v>
      </c>
      <c r="G29" s="30">
        <v>500</v>
      </c>
      <c r="H29" s="30">
        <v>140</v>
      </c>
      <c r="I29" s="27">
        <f t="shared" si="1"/>
        <v>2619801</v>
      </c>
      <c r="J29" s="52">
        <v>1640</v>
      </c>
      <c r="K29" s="53">
        <f t="shared" si="2"/>
        <v>2621301</v>
      </c>
    </row>
    <row r="30" ht="23.25" spans="2:11">
      <c r="B30" s="31" t="s">
        <v>48</v>
      </c>
      <c r="C30" s="32"/>
      <c r="D30" s="32"/>
      <c r="E30" s="32"/>
      <c r="F30" s="32"/>
      <c r="G30" s="32"/>
      <c r="H30" s="32"/>
      <c r="I30" s="32"/>
      <c r="J30" s="32"/>
      <c r="K30" s="54"/>
    </row>
    <row r="31" spans="2:11">
      <c r="B31" s="12">
        <v>1</v>
      </c>
      <c r="C31" s="33" t="s">
        <v>49</v>
      </c>
      <c r="D31" s="33"/>
      <c r="E31" s="33"/>
      <c r="F31" s="33"/>
      <c r="G31" s="33"/>
      <c r="H31" s="33"/>
      <c r="I31" s="33"/>
      <c r="J31" s="33"/>
      <c r="K31" s="55"/>
    </row>
    <row r="32" spans="2:11">
      <c r="B32" s="12" t="s">
        <v>50</v>
      </c>
      <c r="C32" s="27"/>
      <c r="D32" s="27"/>
      <c r="E32" s="27"/>
      <c r="F32" s="27"/>
      <c r="G32" s="27"/>
      <c r="H32" s="27"/>
      <c r="I32" s="27"/>
      <c r="J32" s="27"/>
      <c r="K32" s="56"/>
    </row>
    <row r="33" ht="25" customHeight="1" spans="2:11">
      <c r="B33" s="12">
        <v>1</v>
      </c>
      <c r="C33" s="33" t="s">
        <v>51</v>
      </c>
      <c r="D33" s="33"/>
      <c r="E33" s="33"/>
      <c r="F33" s="33"/>
      <c r="G33" s="33"/>
      <c r="H33" s="33"/>
      <c r="I33" s="33"/>
      <c r="J33" s="33"/>
      <c r="K33" s="55"/>
    </row>
    <row r="34" ht="25" customHeight="1" spans="2:11">
      <c r="B34" s="12">
        <v>2</v>
      </c>
      <c r="C34" s="34" t="s">
        <v>52</v>
      </c>
      <c r="D34" s="34"/>
      <c r="E34" s="34"/>
      <c r="F34" s="34"/>
      <c r="G34" s="34"/>
      <c r="H34" s="34"/>
      <c r="I34" s="34"/>
      <c r="J34" s="34"/>
      <c r="K34" s="57"/>
    </row>
    <row r="35" ht="25" customHeight="1" spans="2:11">
      <c r="B35" s="12">
        <v>3</v>
      </c>
      <c r="C35" s="34" t="s">
        <v>53</v>
      </c>
      <c r="D35" s="34"/>
      <c r="E35" s="34"/>
      <c r="F35" s="34"/>
      <c r="G35" s="34"/>
      <c r="H35" s="34"/>
      <c r="I35" s="34"/>
      <c r="J35" s="34"/>
      <c r="K35" s="57"/>
    </row>
    <row r="36" ht="25" customHeight="1" spans="2:11">
      <c r="B36" s="12">
        <v>4</v>
      </c>
      <c r="C36" s="34" t="s">
        <v>54</v>
      </c>
      <c r="D36" s="34"/>
      <c r="E36" s="34"/>
      <c r="F36" s="34"/>
      <c r="G36" s="34"/>
      <c r="H36" s="34"/>
      <c r="I36" s="34"/>
      <c r="J36" s="34"/>
      <c r="K36" s="57"/>
    </row>
    <row r="37" ht="25" customHeight="1" spans="2:11">
      <c r="B37" s="12">
        <v>5</v>
      </c>
      <c r="C37" s="35" t="s">
        <v>55</v>
      </c>
      <c r="D37" s="35"/>
      <c r="E37" s="35"/>
      <c r="F37" s="35"/>
      <c r="G37" s="35"/>
      <c r="H37" s="35"/>
      <c r="I37" s="35"/>
      <c r="J37" s="35"/>
      <c r="K37" s="58"/>
    </row>
    <row r="38" ht="25" customHeight="1" spans="2:11">
      <c r="B38" s="12">
        <v>6</v>
      </c>
      <c r="C38" s="34" t="s">
        <v>56</v>
      </c>
      <c r="D38" s="34"/>
      <c r="E38" s="34"/>
      <c r="F38" s="34"/>
      <c r="G38" s="34"/>
      <c r="H38" s="34"/>
      <c r="I38" s="34"/>
      <c r="J38" s="34"/>
      <c r="K38" s="57"/>
    </row>
    <row r="39" ht="25" customHeight="1" spans="2:11">
      <c r="B39" s="12">
        <v>7</v>
      </c>
      <c r="C39" s="34" t="s">
        <v>57</v>
      </c>
      <c r="D39" s="34"/>
      <c r="E39" s="34"/>
      <c r="F39" s="34"/>
      <c r="G39" s="34"/>
      <c r="H39" s="34"/>
      <c r="I39" s="34"/>
      <c r="J39" s="34"/>
      <c r="K39" s="57"/>
    </row>
    <row r="40" ht="25" customHeight="1" spans="2:11">
      <c r="B40" s="12">
        <v>8</v>
      </c>
      <c r="C40" s="34" t="s">
        <v>58</v>
      </c>
      <c r="D40" s="34"/>
      <c r="E40" s="34"/>
      <c r="F40" s="34"/>
      <c r="G40" s="34"/>
      <c r="H40" s="34"/>
      <c r="I40" s="34"/>
      <c r="J40" s="34"/>
      <c r="K40" s="57"/>
    </row>
    <row r="41" ht="25" customHeight="1" spans="2:11">
      <c r="B41" s="12">
        <v>9</v>
      </c>
      <c r="C41" s="34" t="s">
        <v>59</v>
      </c>
      <c r="D41" s="34"/>
      <c r="E41" s="34"/>
      <c r="F41" s="34"/>
      <c r="G41" s="34"/>
      <c r="H41" s="34"/>
      <c r="I41" s="34"/>
      <c r="J41" s="34"/>
      <c r="K41" s="57"/>
    </row>
    <row r="42" ht="27" customHeight="1" spans="2:11">
      <c r="B42" s="12">
        <v>10</v>
      </c>
      <c r="C42" s="34" t="s">
        <v>60</v>
      </c>
      <c r="D42" s="34"/>
      <c r="E42" s="34"/>
      <c r="F42" s="34"/>
      <c r="G42" s="34"/>
      <c r="H42" s="34"/>
      <c r="I42" s="34"/>
      <c r="J42" s="34"/>
      <c r="K42" s="57"/>
    </row>
    <row r="43" ht="24" customHeight="1" spans="2:11">
      <c r="B43" s="12">
        <v>11</v>
      </c>
      <c r="C43" s="34" t="s">
        <v>61</v>
      </c>
      <c r="D43" s="34"/>
      <c r="E43" s="34"/>
      <c r="F43" s="34"/>
      <c r="G43" s="34"/>
      <c r="H43" s="34"/>
      <c r="I43" s="34"/>
      <c r="J43" s="34"/>
      <c r="K43" s="57"/>
    </row>
    <row r="44" ht="25" customHeight="1" spans="2:11">
      <c r="B44" s="12">
        <v>12</v>
      </c>
      <c r="C44" s="34" t="s">
        <v>62</v>
      </c>
      <c r="D44" s="34"/>
      <c r="E44" s="34"/>
      <c r="F44" s="34"/>
      <c r="G44" s="34"/>
      <c r="H44" s="34"/>
      <c r="I44" s="34"/>
      <c r="J44" s="34"/>
      <c r="K44" s="57"/>
    </row>
    <row r="45" ht="21" spans="2:11">
      <c r="B45" s="36"/>
      <c r="C45" s="37"/>
      <c r="D45" s="37"/>
      <c r="E45" s="37"/>
      <c r="F45" s="37"/>
      <c r="G45" s="37"/>
      <c r="H45" s="37"/>
      <c r="I45" s="37"/>
      <c r="J45" s="37"/>
      <c r="K45" s="59"/>
    </row>
    <row r="46" ht="21" spans="2:11">
      <c r="B46" s="36"/>
      <c r="C46" s="37"/>
      <c r="D46" s="37"/>
      <c r="E46" s="37"/>
      <c r="F46" s="37"/>
      <c r="G46" s="37"/>
      <c r="H46" s="37"/>
      <c r="I46" s="37"/>
      <c r="J46" s="37"/>
      <c r="K46" s="59"/>
    </row>
    <row r="47" ht="21" spans="2:11">
      <c r="B47" s="36"/>
      <c r="C47" s="37"/>
      <c r="D47" s="37"/>
      <c r="E47" s="37"/>
      <c r="F47" s="37"/>
      <c r="G47" s="37"/>
      <c r="H47" s="37"/>
      <c r="I47" s="37"/>
      <c r="J47" s="37"/>
      <c r="K47" s="59"/>
    </row>
    <row r="48" spans="2:11">
      <c r="B48" s="38"/>
      <c r="C48" s="39"/>
      <c r="D48" s="39"/>
      <c r="E48" s="39"/>
      <c r="F48" s="39"/>
      <c r="G48" s="39"/>
      <c r="H48" s="39"/>
      <c r="I48" s="39"/>
      <c r="J48" s="39"/>
      <c r="K48" s="60"/>
    </row>
    <row r="49" spans="2:11">
      <c r="B49" s="38"/>
      <c r="C49" s="39"/>
      <c r="D49" s="39"/>
      <c r="E49" s="39"/>
      <c r="F49" s="39"/>
      <c r="G49" s="39"/>
      <c r="H49" s="39"/>
      <c r="I49" s="39"/>
      <c r="J49" s="39"/>
      <c r="K49" s="60"/>
    </row>
    <row r="50" spans="2:11">
      <c r="B50" s="38"/>
      <c r="C50" s="39"/>
      <c r="D50" s="39"/>
      <c r="E50" s="39"/>
      <c r="F50" s="39"/>
      <c r="G50" s="39"/>
      <c r="H50" s="39"/>
      <c r="I50" s="39"/>
      <c r="J50" s="39"/>
      <c r="K50" s="60"/>
    </row>
    <row r="51" spans="2:11">
      <c r="B51" s="38"/>
      <c r="C51" s="39"/>
      <c r="D51" s="39"/>
      <c r="E51" s="39"/>
      <c r="F51" s="39"/>
      <c r="G51" s="39"/>
      <c r="H51" s="39"/>
      <c r="I51" s="39"/>
      <c r="J51" s="39"/>
      <c r="K51" s="60"/>
    </row>
    <row r="52" spans="2:11">
      <c r="B52" s="38"/>
      <c r="C52" s="39"/>
      <c r="D52" s="39"/>
      <c r="E52" s="39"/>
      <c r="F52" s="39"/>
      <c r="G52" s="39"/>
      <c r="H52" s="39"/>
      <c r="I52" s="39"/>
      <c r="J52" s="39"/>
      <c r="K52" s="60"/>
    </row>
    <row r="53" ht="27" spans="2:11">
      <c r="B53" s="40"/>
      <c r="C53" s="41"/>
      <c r="D53" s="42"/>
      <c r="E53" s="43"/>
      <c r="F53" s="43"/>
      <c r="G53" s="41"/>
      <c r="H53" s="43"/>
      <c r="I53" s="41"/>
      <c r="J53" s="61"/>
      <c r="K53" s="62"/>
    </row>
  </sheetData>
  <mergeCells count="23">
    <mergeCell ref="B1:K1"/>
    <mergeCell ref="B2:K2"/>
    <mergeCell ref="F3:H3"/>
    <mergeCell ref="B4:K4"/>
    <mergeCell ref="H5:K5"/>
    <mergeCell ref="C33:K33"/>
    <mergeCell ref="C34:K34"/>
    <mergeCell ref="C35:K35"/>
    <mergeCell ref="C36:K36"/>
    <mergeCell ref="C38:K38"/>
    <mergeCell ref="C39:K39"/>
    <mergeCell ref="C40:K40"/>
    <mergeCell ref="C41:K41"/>
    <mergeCell ref="C42:K42"/>
    <mergeCell ref="C43:K43"/>
    <mergeCell ref="C44:K44"/>
    <mergeCell ref="B5:B7"/>
    <mergeCell ref="C5:C6"/>
    <mergeCell ref="D5:D6"/>
    <mergeCell ref="E5:E6"/>
    <mergeCell ref="F5:F6"/>
    <mergeCell ref="G5:G6"/>
    <mergeCell ref="B48:K52"/>
  </mergeCells>
  <pageMargins left="0.275" right="0.196527777777778" top="0.826388888888889" bottom="0.236111111111111" header="0.236111111111111" footer="0.118055555555556"/>
  <pageSetup paperSize="9" scale="57" fitToHeight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SPAT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CHIKHALKAR SONALI</dc:creator>
  <cp:lastModifiedBy>RAJESH BARIK</cp:lastModifiedBy>
  <dcterms:created xsi:type="dcterms:W3CDTF">2025-03-01T13:02:00Z</dcterms:created>
  <dcterms:modified xsi:type="dcterms:W3CDTF">2026-09-07T11:32:42Z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2025-03-01T00:00:00Z</vt:filetime>
  </property>
  <property fmtid="{D5CDD505-2E9C-101B-9397-08002B2CF9AE}" pid="5" name="Producer">
    <vt:lpwstr>Microsoft® Excel® 2016</vt:lpwstr>
  </property>
  <property fmtid="{D5CDD505-2E9C-101B-9397-08002B2CF9AE}" pid="6" name="ICV">
    <vt:lpwstr>88BC7206F2D04A48AD44223F91E3F079_13</vt:lpwstr>
  </property>
  <property fmtid="{D5CDD505-2E9C-101B-9397-08002B2CF9AE}" pid="7" name="KSOProductBuildVer">
    <vt:lpwstr>1033-11.2.0.8893</vt:lpwstr>
  </property>
  <property fmtid="{D5CDD505-2E9C-101B-9397-08002B2CF9AE}" pid="8" name="CalculationRule">
    <vt:i4>0</vt:i4>
  </property>
</Properties>
</file>